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4"/>
  <workbookPr hidePivotFieldList="1"/>
  <mc:AlternateContent xmlns:mc="http://schemas.openxmlformats.org/markup-compatibility/2006">
    <mc:Choice Requires="x15">
      <x15ac:absPath xmlns:x15ac="http://schemas.microsoft.com/office/spreadsheetml/2010/11/ac" url="C:\Users\Techalive\Documents\"/>
    </mc:Choice>
  </mc:AlternateContent>
  <xr:revisionPtr revIDLastSave="0" documentId="13_ncr:1_{2E3749A5-525A-45F3-8FE7-8139CBEA67A7}" xr6:coauthVersionLast="47" xr6:coauthVersionMax="47" xr10:uidLastSave="{00000000-0000-0000-0000-000000000000}"/>
  <bookViews>
    <workbookView xWindow="-120" yWindow="-120" windowWidth="20730" windowHeight="11160" tabRatio="597" firstSheet="2" activeTab="2" xr2:uid="{00000000-000D-0000-FFFF-FFFF00000000}"/>
  </bookViews>
  <sheets>
    <sheet name="Detail1" sheetId="6" r:id="rId1"/>
    <sheet name="CHART SHEET" sheetId="7" r:id="rId2"/>
    <sheet name="PIVOT TABLE" sheetId="5" r:id="rId3"/>
    <sheet name="DASHBOARD" sheetId="8" r:id="rId4"/>
    <sheet name="iphone_sales_dataset" sheetId="1" r:id="rId5"/>
    <sheet name="ANALYSIS SHEET" sheetId="2" r:id="rId6"/>
  </sheets>
  <definedNames>
    <definedName name="Slicer_Color">#N/A</definedName>
    <definedName name="Slicer_Country">#N/A</definedName>
    <definedName name="Slicer_iPhone_Mod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5" l="1"/>
  <c r="B11" i="5"/>
  <c r="E11" i="5"/>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<sst xmlns="http://schemas.openxmlformats.org/spreadsheetml/2006/main" count="1052" uniqueCount="202">
  <si>
    <t>Details for Sum of Price - Payment_Method: Cash</t>
  </si>
  <si>
    <t>Order_ID</t>
  </si>
  <si>
    <t>Customer_Name</t>
  </si>
  <si>
    <t>Country</t>
  </si>
  <si>
    <t>iPhone_Model</t>
  </si>
  <si>
    <t>Storage</t>
  </si>
  <si>
    <t>Color</t>
  </si>
  <si>
    <t>Quantity</t>
  </si>
  <si>
    <t>Price</t>
  </si>
  <si>
    <t>Sale_Date</t>
  </si>
  <si>
    <t>Payment_Method</t>
  </si>
  <si>
    <t>Month</t>
  </si>
  <si>
    <t>Customer_88</t>
  </si>
  <si>
    <t>UK</t>
  </si>
  <si>
    <t>iPhone 15 Pro Max</t>
  </si>
  <si>
    <t>512GB</t>
  </si>
  <si>
    <t>Purple</t>
  </si>
  <si>
    <t>Cash</t>
  </si>
  <si>
    <t>Feb</t>
  </si>
  <si>
    <t>Customer_86</t>
  </si>
  <si>
    <t>Germany</t>
  </si>
  <si>
    <t>iPhone 12</t>
  </si>
  <si>
    <t>256GB</t>
  </si>
  <si>
    <t>Black</t>
  </si>
  <si>
    <t>Apr</t>
  </si>
  <si>
    <t>Customer_85</t>
  </si>
  <si>
    <t>White</t>
  </si>
  <si>
    <t>Customer_84</t>
  </si>
  <si>
    <t>iPhone 13</t>
  </si>
  <si>
    <t>Red</t>
  </si>
  <si>
    <t>Mar</t>
  </si>
  <si>
    <t>Customer_83</t>
  </si>
  <si>
    <t>iPhone 14 Pro</t>
  </si>
  <si>
    <t>128GB</t>
  </si>
  <si>
    <t>Customer_78</t>
  </si>
  <si>
    <t>Pakistan</t>
  </si>
  <si>
    <t>Jan</t>
  </si>
  <si>
    <t>Customer_76</t>
  </si>
  <si>
    <t>Customer_75</t>
  </si>
  <si>
    <t>iPhone 14</t>
  </si>
  <si>
    <t>Blue</t>
  </si>
  <si>
    <t>Customer_73</t>
  </si>
  <si>
    <t>USA</t>
  </si>
  <si>
    <t>Customer_71</t>
  </si>
  <si>
    <t>Customer_64</t>
  </si>
  <si>
    <t>Customer_12</t>
  </si>
  <si>
    <t>Customer_50</t>
  </si>
  <si>
    <t>Canada</t>
  </si>
  <si>
    <t>Customer_48</t>
  </si>
  <si>
    <t>Customer_35</t>
  </si>
  <si>
    <t>Customer_27</t>
  </si>
  <si>
    <t>Customer_24</t>
  </si>
  <si>
    <t>iPhone 15</t>
  </si>
  <si>
    <t>Customer_23</t>
  </si>
  <si>
    <t>Customer_21</t>
  </si>
  <si>
    <t>IPHONE MODEL BY TOTAL  QUANTITY</t>
  </si>
  <si>
    <t>IPHONE MODEL BY TOTAL  QUANTITY AND PRICE</t>
  </si>
  <si>
    <t>IPHONE MODEL BY COUNT OF QUANTITY AND PRICE</t>
  </si>
  <si>
    <t>COUNT OF IPHONE MODEL BY STORAGE</t>
  </si>
  <si>
    <t>Iphone model</t>
  </si>
  <si>
    <t>Sum of Quantity</t>
  </si>
  <si>
    <t>Sum of Price</t>
  </si>
  <si>
    <t>Count of Price</t>
  </si>
  <si>
    <t>Count of Quantity</t>
  </si>
  <si>
    <t>Grand Total</t>
  </si>
  <si>
    <t>SUM OF QUANTITY OF IPHONE MODEL BOUGHT BY EACH COUNTRY</t>
  </si>
  <si>
    <t>SUM OF QUANTITY OF IPHONE MODEL BOUGHT BY COLOR</t>
  </si>
  <si>
    <t>UAE</t>
  </si>
  <si>
    <t>IPHONE COLOR BY QUANTITY</t>
  </si>
  <si>
    <t>QUANTITY AND PRICE OF IPHONE MODEL BY MONTH</t>
  </si>
  <si>
    <t>QUANTITY AND PRICE OF IPHONE MODEL BY PAYMENT METHOD</t>
  </si>
  <si>
    <t>COLOR</t>
  </si>
  <si>
    <t>Payment method</t>
  </si>
  <si>
    <t>Debit Card</t>
  </si>
  <si>
    <t>Credit Card</t>
  </si>
  <si>
    <t>PayPal</t>
  </si>
  <si>
    <t>May</t>
  </si>
  <si>
    <t>TOP THREE IPHONE MODEL</t>
  </si>
  <si>
    <t>Customer_1</t>
  </si>
  <si>
    <t>Customer_2</t>
  </si>
  <si>
    <t>Customer_3</t>
  </si>
  <si>
    <t>Customer_4</t>
  </si>
  <si>
    <t>Customer_5</t>
  </si>
  <si>
    <t>Customer_6</t>
  </si>
  <si>
    <t>Customer_7</t>
  </si>
  <si>
    <t>Customer_8</t>
  </si>
  <si>
    <t>Customer_9</t>
  </si>
  <si>
    <t>Customer_10</t>
  </si>
  <si>
    <t>Customer_11</t>
  </si>
  <si>
    <t>Customer_13</t>
  </si>
  <si>
    <t>Customer_14</t>
  </si>
  <si>
    <t>Customer_15</t>
  </si>
  <si>
    <t>Customer_16</t>
  </si>
  <si>
    <t>Customer_17</t>
  </si>
  <si>
    <t>Customer_18</t>
  </si>
  <si>
    <t>Customer_19</t>
  </si>
  <si>
    <t>Customer_20</t>
  </si>
  <si>
    <t>Customer_22</t>
  </si>
  <si>
    <t>Customer_25</t>
  </si>
  <si>
    <t>Customer_26</t>
  </si>
  <si>
    <t>Customer_28</t>
  </si>
  <si>
    <t>Customer_29</t>
  </si>
  <si>
    <t>Customer_30</t>
  </si>
  <si>
    <t>Customer_31</t>
  </si>
  <si>
    <t>Customer_32</t>
  </si>
  <si>
    <t>Customer_33</t>
  </si>
  <si>
    <t>Customer_34</t>
  </si>
  <si>
    <t>Customer_36</t>
  </si>
  <si>
    <t>Customer_37</t>
  </si>
  <si>
    <t>Customer_38</t>
  </si>
  <si>
    <t>Customer_39</t>
  </si>
  <si>
    <t>Customer_40</t>
  </si>
  <si>
    <t>Customer_41</t>
  </si>
  <si>
    <t>Customer_42</t>
  </si>
  <si>
    <t>Customer_43</t>
  </si>
  <si>
    <t>Customer_44</t>
  </si>
  <si>
    <t>Customer_45</t>
  </si>
  <si>
    <t>Customer_46</t>
  </si>
  <si>
    <t>Customer_47</t>
  </si>
  <si>
    <t>Customer_49</t>
  </si>
  <si>
    <t>Customer_51</t>
  </si>
  <si>
    <t>Customer_52</t>
  </si>
  <si>
    <t>Customer_53</t>
  </si>
  <si>
    <t>Customer_54</t>
  </si>
  <si>
    <t>Customer_55</t>
  </si>
  <si>
    <t>Customer_56</t>
  </si>
  <si>
    <t>Customer_57</t>
  </si>
  <si>
    <t>Customer_58</t>
  </si>
  <si>
    <t>Customer_59</t>
  </si>
  <si>
    <t>Customer_60</t>
  </si>
  <si>
    <t>Customer_61</t>
  </si>
  <si>
    <t>Customer_62</t>
  </si>
  <si>
    <t>Customer_63</t>
  </si>
  <si>
    <t>Customer_65</t>
  </si>
  <si>
    <t>Customer_66</t>
  </si>
  <si>
    <t>Customer_67</t>
  </si>
  <si>
    <t>Customer_68</t>
  </si>
  <si>
    <t>Customer_69</t>
  </si>
  <si>
    <t>Customer_70</t>
  </si>
  <si>
    <t>Customer_72</t>
  </si>
  <si>
    <t>Customer_74</t>
  </si>
  <si>
    <t>Customer_77</t>
  </si>
  <si>
    <t>Customer_79</t>
  </si>
  <si>
    <t>Customer_80</t>
  </si>
  <si>
    <t>Customer_81</t>
  </si>
  <si>
    <t>Customer_82</t>
  </si>
  <si>
    <t>Customer_87</t>
  </si>
  <si>
    <t>Customer_89</t>
  </si>
  <si>
    <t>Customer_90</t>
  </si>
  <si>
    <t>Customer_91</t>
  </si>
  <si>
    <t>Customer_92</t>
  </si>
  <si>
    <t>Customer_93</t>
  </si>
  <si>
    <t>Customer_94</t>
  </si>
  <si>
    <t>Customer_95</t>
  </si>
  <si>
    <t>Customer_96</t>
  </si>
  <si>
    <t>Customer_97</t>
  </si>
  <si>
    <t>Customer_98</t>
  </si>
  <si>
    <t>Customer_99</t>
  </si>
  <si>
    <t>Customer_100</t>
  </si>
  <si>
    <t>NUMBER OF IPHONE SOLD PER COUNTRY</t>
  </si>
  <si>
    <t>QUANTITY SOLD BY MODEL</t>
  </si>
  <si>
    <t>QUANTITY SOLD BY COLOR</t>
  </si>
  <si>
    <t>QUANTITY AND PRICE SOLD BY MONTH</t>
  </si>
  <si>
    <t>TOTAL</t>
  </si>
  <si>
    <t>MODEL BOUGHT MOST IN EACH COUNTRY</t>
  </si>
  <si>
    <t>QUANTITY SOLD</t>
  </si>
  <si>
    <t>TOTAL PRICE PER PRODUCT</t>
  </si>
  <si>
    <t>PRICE</t>
  </si>
  <si>
    <t>MONTH</t>
  </si>
  <si>
    <t>QUANTITY</t>
  </si>
  <si>
    <t>Both iphone 14 proand 15 pro</t>
  </si>
  <si>
    <t>TOTAL QUANTITY SOLD</t>
  </si>
  <si>
    <t>TOTAL QUANTITIY SOLD</t>
  </si>
  <si>
    <t xml:space="preserve">Total </t>
  </si>
  <si>
    <t>TOTAL PRICE</t>
  </si>
  <si>
    <t>BEST SELLING MONTH</t>
  </si>
  <si>
    <t>JANUARY</t>
  </si>
  <si>
    <t>TOTAL NO OF IPHONE MODEL SOLD</t>
  </si>
  <si>
    <t>BEST SELLING MODEL</t>
  </si>
  <si>
    <t xml:space="preserve"> COUNTRY THAT BOUGHT MOST</t>
  </si>
  <si>
    <t>CANADA AND USA</t>
  </si>
  <si>
    <t>UK AND CANADA</t>
  </si>
  <si>
    <t>SUM OF SALES BY IPHONE MODEL AND COLOUR</t>
  </si>
  <si>
    <t>COUNT OF MODEL BY STORAGE</t>
  </si>
  <si>
    <t>COUNT OF PAYMENT METHOD</t>
  </si>
  <si>
    <t>Colour</t>
  </si>
  <si>
    <t>Total</t>
  </si>
  <si>
    <t>IPHONE MODEL</t>
  </si>
  <si>
    <t>No of times used</t>
  </si>
  <si>
    <t>MOST USED PAYMENT METHOD</t>
  </si>
  <si>
    <t>TOP PERFORMING MONTH</t>
  </si>
  <si>
    <t xml:space="preserve"> MOST USED PAYMENT METHOD</t>
  </si>
  <si>
    <t xml:space="preserve"> MOST BOUGHT COLOR</t>
  </si>
  <si>
    <t xml:space="preserve"> MOST BOUGHT IPHONE MODEL</t>
  </si>
  <si>
    <t>IPHONE MODEL BY TOTAL  REVENUE</t>
  </si>
  <si>
    <t>COUNTRY THAT GENERATED MOST REVENUE</t>
  </si>
  <si>
    <t>COUNTRY BY REVENUE</t>
  </si>
  <si>
    <t xml:space="preserve"> COUNTRY THAT SELLS THE MOST QUANTITY</t>
  </si>
  <si>
    <t>TOP THREE COUNTRY BY REVENUE</t>
  </si>
  <si>
    <t>MODEL THAT GENERATED HIGHEST REVENUE</t>
  </si>
  <si>
    <t>Month of sales</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</si>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</sst>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00"/>
  </numFmts>
  <fonts count="6"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family val="2"/>
      <charset val="134"/>
      <scheme val="minor"/>
    </font>
  </fonts>
  <fills count="6">
    <fill>
      <patternFill patternType="none"/>
    </fill>
    <fill>
      <patternFill patternType="gray125"/>
    </fill>
    <fill>
      <patternFill patternType="solid">
        <fgColor theme="7"/>
        <bgColor indexed="64"/>
      </patternFill>
    </fill>
    <fill>
      <patternFill patternType="solid">
        <fgColor theme="8" tint="0.79995117038483843"/>
        <bgColor indexed="64"/>
      </patternFill>
    </fill>
    <fill>
      <patternFill patternType="solid">
        <fgColor theme="8"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0" fillId="2" borderId="0" xfId="0" applyFill="1"/>
    <xf numFmtId="14" fontId="0" fillId="0" borderId="0" xfId="0" applyNumberFormat="1"/>
    <xf numFmtId="0" fontId="0" fillId="3" borderId="0" xfId="0" applyFill="1"/>
    <xf numFmtId="0" fontId="0" fillId="0" borderId="0" xfId="0" applyAlignment="1">
      <alignment horizontal="left"/>
    </xf>
    <xf numFmtId="0" fontId="4" fillId="0" borderId="0" xfId="0" applyFont="1"/>
    <xf numFmtId="164" fontId="0" fillId="0" borderId="0" xfId="0" applyNumberFormat="1"/>
    <xf numFmtId="4" fontId="0" fillId="0" borderId="0" xfId="0" applyNumberFormat="1"/>
    <xf numFmtId="0" fontId="0" fillId="0" borderId="0" xfId="0" pivotButton="1"/>
    <xf numFmtId="0" fontId="3" fillId="3" borderId="0" xfId="0" applyFont="1" applyFill="1"/>
    <xf numFmtId="0" fontId="3" fillId="3" borderId="0" xfId="0" applyFont="1" applyFill="1" applyAlignment="1">
      <alignment horizontal="left"/>
    </xf>
    <xf numFmtId="0" fontId="2" fillId="4" borderId="0" xfId="0" applyFont="1" applyFill="1"/>
    <xf numFmtId="0" fontId="0" fillId="4" borderId="0" xfId="0" applyFill="1"/>
    <xf numFmtId="0" fontId="2" fillId="3" borderId="0" xfId="0" applyFont="1" applyFill="1"/>
    <xf numFmtId="165" fontId="0" fillId="0" borderId="0" xfId="0" applyNumberFormat="1"/>
    <xf numFmtId="165" fontId="5" fillId="0" borderId="0" xfId="0" applyNumberFormat="1" applyFont="1"/>
    <xf numFmtId="0" fontId="1" fillId="4" borderId="0" xfId="0" applyFont="1" applyFill="1"/>
    <xf numFmtId="0" fontId="5" fillId="0" borderId="0" xfId="0" applyFont="1"/>
    <xf numFmtId="0" fontId="0" fillId="5" borderId="0" xfId="0" applyFill="1"/>
  </cellXfs>
  <cellStyles count="1">
    <cellStyle name="Normal" xfId="0" builtinId="0"/>
  </cellStyles>
  <dxfs count="22">
    <dxf>
      <numFmt numFmtId="165" formatCode="[$$-45C]#,##0.00"/>
    </dxf>
    <dxf>
      <numFmt numFmtId="165" formatCode="[$$-45C]#,##0.00"/>
    </dxf>
    <dxf>
      <numFmt numFmtId="165" formatCode="[$$-45C]#,##0.00"/>
    </dxf>
    <dxf>
      <numFmt numFmtId="165" formatCode="[$$-45C]#,##0.00"/>
    </dxf>
    <dxf>
      <numFmt numFmtId="165" formatCode="[$$-45C]#,##0.00"/>
    </dxf>
    <dxf>
      <numFmt numFmtId="165" formatCode="[$$-45C]#,##0.00"/>
    </dxf>
    <dxf>
      <numFmt numFmtId="164" formatCode="&quot;₦&quot;#,##0.00"/>
    </dxf>
    <dxf>
      <numFmt numFmtId="164" formatCode="&quot;₦&quot;#,##0.00"/>
    </dxf>
    <dxf>
      <numFmt numFmtId="164" formatCode="&quot;₦&quot;#,##0.00"/>
    </dxf>
    <dxf>
      <numFmt numFmtId="164" formatCode="&quot;₦&quot;#,##0.00"/>
    </dxf>
    <dxf>
      <numFmt numFmtId="165" formatCode="[$$-45C]#,##0.00"/>
    </dxf>
    <dxf>
      <numFmt numFmtId="165" formatCode="[$$-45C]#,##0.00"/>
    </dxf>
    <dxf>
      <numFmt numFmtId="165" formatCode="[$$-45C]#,##0.00"/>
    </dxf>
    <dxf>
      <numFmt numFmtId="0" formatCode="General"/>
    </dxf>
    <dxf>
      <numFmt numFmtId="19" formatCode="dd/mm/yyyy"/>
    </dxf>
    <dxf>
      <numFmt numFmtId="165" formatCode="[$$-45C]#,##0.00"/>
    </dxf>
    <dxf>
      <numFmt numFmtId="165" formatCode="[$$-45C]#,##0.00"/>
    </dxf>
    <dxf>
      <numFmt numFmtId="4" formatCode="#,##0.00"/>
    </dxf>
    <dxf>
      <numFmt numFmtId="164" formatCode="&quot;₦&quot;#,##0.00"/>
    </dxf>
    <dxf>
      <numFmt numFmtId="165" formatCode="[$$-45C]#,##0.00"/>
    </dxf>
    <dxf>
      <numFmt numFmtId="164" formatCode="&quot;₦&quot;#,##0.00"/>
    </dxf>
    <dxf>
      <numFmt numFmtId="19" formatCode="dd/mm/yyyy"/>
    </dxf>
  </dxfs>
  <tableStyles count="0" defaultTableStyle="TableStyleMedium2" defaultPivotStyle="PivotStyleLight16"/>
  <colors>
    <mruColors>
      <color rgb="FF33CC33"/>
      <color rgb="FF00CC0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TABLE!PivotTable4</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Iphone model by quantity</a:t>
            </a:r>
          </a:p>
        </c:rich>
      </c:tx>
      <c:layout>
        <c:manualLayout>
          <c:xMode val="edge"/>
          <c:yMode val="edge"/>
          <c:x val="0.27394962762837494"/>
          <c:y val="1.3799509629197617E-3"/>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73614641284967E-2"/>
          <c:y val="0.18117402560174856"/>
          <c:w val="0.88911386076740395"/>
          <c:h val="0.65421381806828005"/>
        </c:manualLayout>
      </c:layout>
      <c:barChart>
        <c:barDir val="col"/>
        <c:grouping val="clustered"/>
        <c:varyColors val="0"/>
        <c:ser>
          <c:idx val="0"/>
          <c:order val="0"/>
          <c:tx>
            <c:strRef>
              <c:f>'PIVOT TABLE'!$B$3</c:f>
              <c:strCache>
                <c:ptCount val="1"/>
                <c:pt idx="0">
                  <c:v>Total</c:v>
                </c:pt>
              </c:strCache>
            </c:strRef>
          </c:tx>
          <c:spPr>
            <a:solidFill>
              <a:schemeClr val="accent3">
                <a:lumMod val="60000"/>
                <a:lumOff val="40000"/>
              </a:schemeClr>
            </a:solidFill>
            <a:ln>
              <a:noFill/>
            </a:ln>
            <a:effectLst/>
            <a:scene3d>
              <a:camera prst="orthographicFront"/>
              <a:lightRig rig="threePt" dir="t"/>
            </a:scene3d>
          </c:spPr>
          <c:invertIfNegative val="0"/>
          <c:cat>
            <c:strRef>
              <c:f>'PIVOT TABLE'!$A$4:$A$10</c:f>
              <c:strCache>
                <c:ptCount val="6"/>
                <c:pt idx="0">
                  <c:v>iPhone 15 Pro Max</c:v>
                </c:pt>
                <c:pt idx="1">
                  <c:v>iPhone 14 Pro</c:v>
                </c:pt>
                <c:pt idx="2">
                  <c:v>iPhone 13</c:v>
                </c:pt>
                <c:pt idx="3">
                  <c:v>iPhone 15</c:v>
                </c:pt>
                <c:pt idx="4">
                  <c:v>iPhone 12</c:v>
                </c:pt>
                <c:pt idx="5">
                  <c:v>iPhone 14</c:v>
                </c:pt>
              </c:strCache>
            </c:strRef>
          </c:cat>
          <c:val>
            <c:numRef>
              <c:f>'PIVOT TABLE'!$B$4:$B$10</c:f>
              <c:numCache>
                <c:formatCode>General</c:formatCode>
                <c:ptCount val="6"/>
                <c:pt idx="0">
                  <c:v>73</c:v>
                </c:pt>
                <c:pt idx="1">
                  <c:v>66</c:v>
                </c:pt>
                <c:pt idx="2">
                  <c:v>59</c:v>
                </c:pt>
                <c:pt idx="3">
                  <c:v>57</c:v>
                </c:pt>
                <c:pt idx="4">
                  <c:v>42</c:v>
                </c:pt>
                <c:pt idx="5">
                  <c:v>36</c:v>
                </c:pt>
              </c:numCache>
            </c:numRef>
          </c:val>
          <c:extLst>
            <c:ext xmlns:c16="http://schemas.microsoft.com/office/drawing/2014/chart" uri="{C3380CC4-5D6E-409C-BE32-E72D297353CC}">
              <c16:uniqueId val="{00000000-62AC-427A-A2F2-3C7B0D92A3CA}"/>
            </c:ext>
          </c:extLst>
        </c:ser>
        <c:dLbls>
          <c:showLegendKey val="0"/>
          <c:showVal val="0"/>
          <c:showCatName val="0"/>
          <c:showSerName val="0"/>
          <c:showPercent val="0"/>
          <c:showBubbleSize val="0"/>
        </c:dLbls>
        <c:gapWidth val="219"/>
        <c:overlap val="-27"/>
        <c:axId val="1399705216"/>
        <c:axId val="1399700896"/>
      </c:barChart>
      <c:catAx>
        <c:axId val="13997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399700896"/>
        <c:crosses val="autoZero"/>
        <c:auto val="1"/>
        <c:lblAlgn val="ctr"/>
        <c:lblOffset val="100"/>
        <c:noMultiLvlLbl val="0"/>
      </c:catAx>
      <c:valAx>
        <c:axId val="139970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399705216"/>
        <c:crosses val="autoZero"/>
        <c:crossBetween val="between"/>
      </c:valAx>
      <c:spPr>
        <a:noFill/>
        <a:ln>
          <a:noFill/>
        </a:ln>
        <a:effectLst/>
      </c:spPr>
    </c:plotArea>
    <c:plotVisOnly val="1"/>
    <c:dispBlanksAs val="gap"/>
    <c:showDLblsOverMax val="0"/>
    <c:extLst>
      <c:ext uri="{0b15fc19-7d7d-44ad-8c2d-2c3a37ce22c3}">
        <chartProps xmlns="https://web.wps.cn/et/2018/main" chartId="{33ce69e1-3ea5-4273-b60d-a8177b9ff3d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TABLE!PivotTable1</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Iphone model by total price</a:t>
            </a:r>
          </a:p>
        </c:rich>
      </c:tx>
      <c:layout>
        <c:manualLayout>
          <c:xMode val="edge"/>
          <c:yMode val="edge"/>
          <c:x val="0.31704645058902498"/>
          <c:y val="2.6757072032662602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2">
                <a:lumMod val="50000"/>
                <a:lumOff val="50000"/>
              </a:schemeClr>
            </a:solidFill>
          </a:ln>
          <a:effectLst/>
        </c:spPr>
      </c:pivotFmt>
    </c:pivotFmts>
    <c:plotArea>
      <c:layout>
        <c:manualLayout>
          <c:layoutTarget val="inner"/>
          <c:xMode val="edge"/>
          <c:yMode val="edge"/>
          <c:x val="0.23384315766499336"/>
          <c:y val="0.15144533899554691"/>
          <c:w val="0.665691753647073"/>
          <c:h val="0.68987131816856195"/>
        </c:manualLayout>
      </c:layout>
      <c:barChart>
        <c:barDir val="bar"/>
        <c:grouping val="clustered"/>
        <c:varyColors val="0"/>
        <c:ser>
          <c:idx val="0"/>
          <c:order val="0"/>
          <c:tx>
            <c:strRef>
              <c:f>'PIVOT TABLE'!$E$3</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cat>
            <c:strRef>
              <c:f>'PIVOT TABLE'!$D$4:$D$10</c:f>
              <c:strCache>
                <c:ptCount val="6"/>
                <c:pt idx="0">
                  <c:v>iPhone 14 Pro</c:v>
                </c:pt>
                <c:pt idx="1">
                  <c:v>iPhone 15 Pro Max</c:v>
                </c:pt>
                <c:pt idx="2">
                  <c:v>iPhone 15</c:v>
                </c:pt>
                <c:pt idx="3">
                  <c:v>iPhone 13</c:v>
                </c:pt>
                <c:pt idx="4">
                  <c:v>iPhone 12</c:v>
                </c:pt>
                <c:pt idx="5">
                  <c:v>iPhone 14</c:v>
                </c:pt>
              </c:strCache>
            </c:strRef>
          </c:cat>
          <c:val>
            <c:numRef>
              <c:f>'PIVOT TABLE'!$E$4:$E$10</c:f>
              <c:numCache>
                <c:formatCode>[$$-45C]#,##0.00</c:formatCode>
                <c:ptCount val="6"/>
                <c:pt idx="0">
                  <c:v>36612</c:v>
                </c:pt>
                <c:pt idx="1">
                  <c:v>30366</c:v>
                </c:pt>
                <c:pt idx="2">
                  <c:v>22608</c:v>
                </c:pt>
                <c:pt idx="3">
                  <c:v>21017</c:v>
                </c:pt>
                <c:pt idx="4">
                  <c:v>19364</c:v>
                </c:pt>
                <c:pt idx="5">
                  <c:v>16908</c:v>
                </c:pt>
              </c:numCache>
            </c:numRef>
          </c:val>
          <c:extLst>
            <c:ext xmlns:c16="http://schemas.microsoft.com/office/drawing/2014/chart" uri="{C3380CC4-5D6E-409C-BE32-E72D297353CC}">
              <c16:uniqueId val="{00000000-36F2-4F33-BBE8-559CED5771C1}"/>
            </c:ext>
          </c:extLst>
        </c:ser>
        <c:dLbls>
          <c:showLegendKey val="0"/>
          <c:showVal val="0"/>
          <c:showCatName val="0"/>
          <c:showSerName val="0"/>
          <c:showPercent val="0"/>
          <c:showBubbleSize val="0"/>
        </c:dLbls>
        <c:gapWidth val="182"/>
        <c:axId val="1208579552"/>
        <c:axId val="1208576192"/>
      </c:barChart>
      <c:catAx>
        <c:axId val="120857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208576192"/>
        <c:crosses val="autoZero"/>
        <c:auto val="1"/>
        <c:lblAlgn val="ctr"/>
        <c:lblOffset val="100"/>
        <c:noMultiLvlLbl val="0"/>
      </c:catAx>
      <c:valAx>
        <c:axId val="1208576192"/>
        <c:scaling>
          <c:orientation val="minMax"/>
        </c:scaling>
        <c:delete val="0"/>
        <c:axPos val="b"/>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208579552"/>
        <c:crosses val="autoZero"/>
        <c:crossBetween val="between"/>
      </c:valAx>
      <c:spPr>
        <a:noFill/>
        <a:ln>
          <a:noFill/>
        </a:ln>
        <a:effectLst/>
      </c:spPr>
    </c:plotArea>
    <c:plotVisOnly val="1"/>
    <c:dispBlanksAs val="gap"/>
    <c:showDLblsOverMax val="0"/>
    <c:extLst>
      <c:ext uri="{0b15fc19-7d7d-44ad-8c2d-2c3a37ce22c3}">
        <chartProps xmlns="https://web.wps.cn/et/2018/main" chartId="{ca2caaaf-a32d-4cc3-bd87-1366e48203a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TABLE!PivotTable9</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5960601078712"/>
          <c:y val="0.15275429032909349"/>
          <c:w val="0.84494694144093196"/>
          <c:h val="0.65890128317293695"/>
        </c:manualLayout>
      </c:layout>
      <c:lineChart>
        <c:grouping val="standard"/>
        <c:varyColors val="0"/>
        <c:ser>
          <c:idx val="0"/>
          <c:order val="0"/>
          <c:tx>
            <c:strRef>
              <c:f>'PIVOT TABLE'!$B$29</c:f>
              <c:strCache>
                <c:ptCount val="1"/>
                <c:pt idx="0">
                  <c:v>Sum of Quantity</c:v>
                </c:pt>
              </c:strCache>
            </c:strRef>
          </c:tx>
          <c:spPr>
            <a:ln w="28575" cap="rnd">
              <a:solidFill>
                <a:schemeClr val="accent1"/>
              </a:solidFill>
              <a:round/>
            </a:ln>
            <a:effectLst/>
          </c:spPr>
          <c:marker>
            <c:symbol val="none"/>
          </c:marker>
          <c:cat>
            <c:strRef>
              <c:f>'PIVOT TABLE'!$A$30:$A$35</c:f>
              <c:strCache>
                <c:ptCount val="5"/>
                <c:pt idx="0">
                  <c:v>Jan</c:v>
                </c:pt>
                <c:pt idx="1">
                  <c:v>Feb</c:v>
                </c:pt>
                <c:pt idx="2">
                  <c:v>Mar</c:v>
                </c:pt>
                <c:pt idx="3">
                  <c:v>Apr</c:v>
                </c:pt>
                <c:pt idx="4">
                  <c:v>May</c:v>
                </c:pt>
              </c:strCache>
            </c:strRef>
          </c:cat>
          <c:val>
            <c:numRef>
              <c:f>'PIVOT TABLE'!$B$30:$B$35</c:f>
              <c:numCache>
                <c:formatCode>General</c:formatCode>
                <c:ptCount val="5"/>
                <c:pt idx="0">
                  <c:v>112</c:v>
                </c:pt>
                <c:pt idx="1">
                  <c:v>66</c:v>
                </c:pt>
                <c:pt idx="2">
                  <c:v>83</c:v>
                </c:pt>
                <c:pt idx="3">
                  <c:v>62</c:v>
                </c:pt>
                <c:pt idx="4">
                  <c:v>10</c:v>
                </c:pt>
              </c:numCache>
            </c:numRef>
          </c:val>
          <c:smooth val="0"/>
          <c:extLst>
            <c:ext xmlns:c16="http://schemas.microsoft.com/office/drawing/2014/chart" uri="{C3380CC4-5D6E-409C-BE32-E72D297353CC}">
              <c16:uniqueId val="{00000000-5606-4DA1-B692-FE9F0753197C}"/>
            </c:ext>
          </c:extLst>
        </c:ser>
        <c:ser>
          <c:idx val="1"/>
          <c:order val="1"/>
          <c:tx>
            <c:strRef>
              <c:f>'PIVOT TABLE'!$C$29</c:f>
              <c:strCache>
                <c:ptCount val="1"/>
                <c:pt idx="0">
                  <c:v>Sum of Price</c:v>
                </c:pt>
              </c:strCache>
            </c:strRef>
          </c:tx>
          <c:spPr>
            <a:ln w="28575" cap="rnd">
              <a:solidFill>
                <a:schemeClr val="accent3">
                  <a:lumMod val="40000"/>
                  <a:lumOff val="60000"/>
                </a:schemeClr>
              </a:solidFill>
              <a:round/>
            </a:ln>
            <a:effectLst/>
          </c:spPr>
          <c:marker>
            <c:symbol val="none"/>
          </c:marker>
          <c:cat>
            <c:strRef>
              <c:f>'PIVOT TABLE'!$A$30:$A$35</c:f>
              <c:strCache>
                <c:ptCount val="5"/>
                <c:pt idx="0">
                  <c:v>Jan</c:v>
                </c:pt>
                <c:pt idx="1">
                  <c:v>Feb</c:v>
                </c:pt>
                <c:pt idx="2">
                  <c:v>Mar</c:v>
                </c:pt>
                <c:pt idx="3">
                  <c:v>Apr</c:v>
                </c:pt>
                <c:pt idx="4">
                  <c:v>May</c:v>
                </c:pt>
              </c:strCache>
            </c:strRef>
          </c:cat>
          <c:val>
            <c:numRef>
              <c:f>'PIVOT TABLE'!$C$30:$C$35</c:f>
              <c:numCache>
                <c:formatCode>[$$-45C]#,##0.00</c:formatCode>
                <c:ptCount val="5"/>
                <c:pt idx="0">
                  <c:v>46129</c:v>
                </c:pt>
                <c:pt idx="1">
                  <c:v>28362</c:v>
                </c:pt>
                <c:pt idx="2">
                  <c:v>39029</c:v>
                </c:pt>
                <c:pt idx="3">
                  <c:v>29559</c:v>
                </c:pt>
                <c:pt idx="4">
                  <c:v>3796</c:v>
                </c:pt>
              </c:numCache>
            </c:numRef>
          </c:val>
          <c:smooth val="0"/>
          <c:extLst>
            <c:ext xmlns:c16="http://schemas.microsoft.com/office/drawing/2014/chart" uri="{C3380CC4-5D6E-409C-BE32-E72D297353CC}">
              <c16:uniqueId val="{00000001-5606-4DA1-B692-FE9F0753197C}"/>
            </c:ext>
          </c:extLst>
        </c:ser>
        <c:dLbls>
          <c:showLegendKey val="0"/>
          <c:showVal val="0"/>
          <c:showCatName val="0"/>
          <c:showSerName val="0"/>
          <c:showPercent val="0"/>
          <c:showBubbleSize val="0"/>
        </c:dLbls>
        <c:smooth val="0"/>
        <c:axId val="1668003776"/>
        <c:axId val="1667990336"/>
      </c:lineChart>
      <c:catAx>
        <c:axId val="166800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667990336"/>
        <c:crosses val="autoZero"/>
        <c:auto val="1"/>
        <c:lblAlgn val="ctr"/>
        <c:lblOffset val="100"/>
        <c:noMultiLvlLbl val="0"/>
      </c:catAx>
      <c:valAx>
        <c:axId val="1667990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668003776"/>
        <c:crosses val="autoZero"/>
        <c:crossBetween val="between"/>
      </c:valAx>
      <c:spPr>
        <a:solidFill>
          <a:schemeClr val="bg1"/>
        </a:solidFill>
        <a:ln>
          <a:noFill/>
        </a:ln>
        <a:effectLst/>
      </c:spPr>
    </c:plotArea>
    <c:plotVisOnly val="1"/>
    <c:dispBlanksAs val="gap"/>
    <c:showDLblsOverMax val="0"/>
    <c:extLst>
      <c:ext uri="{0b15fc19-7d7d-44ad-8c2d-2c3a37ce22c3}">
        <chartProps xmlns="https://web.wps.cn/et/2018/main" chartId="{4248355e-d9ec-4c0b-8038-19f021f5825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TABLE!PivotTable2</c:name>
    <c:fmtId val="5"/>
  </c:pivotSource>
  <c:chart>
    <c:autoTitleDeleted val="1"/>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 TABLE'!$I$3</c:f>
              <c:strCache>
                <c:ptCount val="1"/>
                <c:pt idx="0">
                  <c:v>Sum of Quantity</c:v>
                </c:pt>
              </c:strCache>
            </c:strRef>
          </c:tx>
          <c:spPr>
            <a:solidFill>
              <a:schemeClr val="accent5">
                <a:lumMod val="20000"/>
                <a:lumOff val="80000"/>
              </a:schemeClr>
            </a:solidFill>
            <a:ln>
              <a:noFill/>
            </a:ln>
            <a:effectLst/>
          </c:spPr>
          <c:invertIfNegative val="0"/>
          <c:cat>
            <c:strRef>
              <c:f>'PIVOT TABLE'!$G$4:$G$10</c:f>
              <c:strCache>
                <c:ptCount val="6"/>
                <c:pt idx="0">
                  <c:v>iPhone 12</c:v>
                </c:pt>
                <c:pt idx="1">
                  <c:v>iPhone 13</c:v>
                </c:pt>
                <c:pt idx="2">
                  <c:v>iPhone 14</c:v>
                </c:pt>
                <c:pt idx="3">
                  <c:v>iPhone 14 Pro</c:v>
                </c:pt>
                <c:pt idx="4">
                  <c:v>iPhone 15</c:v>
                </c:pt>
                <c:pt idx="5">
                  <c:v>iPhone 15 Pro Max</c:v>
                </c:pt>
              </c:strCache>
            </c:strRef>
          </c:cat>
          <c:val>
            <c:numRef>
              <c:f>'PIVOT TABLE'!$I$4:$I$10</c:f>
              <c:numCache>
                <c:formatCode>General</c:formatCode>
                <c:ptCount val="6"/>
                <c:pt idx="0">
                  <c:v>42</c:v>
                </c:pt>
                <c:pt idx="1">
                  <c:v>59</c:v>
                </c:pt>
                <c:pt idx="2">
                  <c:v>36</c:v>
                </c:pt>
                <c:pt idx="3">
                  <c:v>66</c:v>
                </c:pt>
                <c:pt idx="4">
                  <c:v>57</c:v>
                </c:pt>
                <c:pt idx="5">
                  <c:v>73</c:v>
                </c:pt>
              </c:numCache>
            </c:numRef>
          </c:val>
          <c:extLst>
            <c:ext xmlns:c16="http://schemas.microsoft.com/office/drawing/2014/chart" uri="{C3380CC4-5D6E-409C-BE32-E72D297353CC}">
              <c16:uniqueId val="{00000000-A989-4D3C-B6BB-4BD09CC8F85E}"/>
            </c:ext>
          </c:extLst>
        </c:ser>
        <c:dLbls>
          <c:showLegendKey val="0"/>
          <c:showVal val="0"/>
          <c:showCatName val="0"/>
          <c:showSerName val="0"/>
          <c:showPercent val="0"/>
          <c:showBubbleSize val="0"/>
        </c:dLbls>
        <c:gapWidth val="219"/>
        <c:axId val="1668042176"/>
        <c:axId val="1668041216"/>
      </c:barChart>
      <c:lineChart>
        <c:grouping val="standard"/>
        <c:varyColors val="0"/>
        <c:ser>
          <c:idx val="0"/>
          <c:order val="0"/>
          <c:tx>
            <c:strRef>
              <c:f>'PIVOT TABLE'!$H$3</c:f>
              <c:strCache>
                <c:ptCount val="1"/>
                <c:pt idx="0">
                  <c:v>Sum of Price</c:v>
                </c:pt>
              </c:strCache>
            </c:strRef>
          </c:tx>
          <c:spPr>
            <a:ln w="28575" cap="rnd">
              <a:solidFill>
                <a:schemeClr val="accent1"/>
              </a:solidFill>
              <a:round/>
            </a:ln>
            <a:effectLst/>
          </c:spPr>
          <c:marker>
            <c:symbol val="none"/>
          </c:marker>
          <c:cat>
            <c:strRef>
              <c:f>'PIVOT TABLE'!$G$4:$G$10</c:f>
              <c:strCache>
                <c:ptCount val="6"/>
                <c:pt idx="0">
                  <c:v>iPhone 12</c:v>
                </c:pt>
                <c:pt idx="1">
                  <c:v>iPhone 13</c:v>
                </c:pt>
                <c:pt idx="2">
                  <c:v>iPhone 14</c:v>
                </c:pt>
                <c:pt idx="3">
                  <c:v>iPhone 14 Pro</c:v>
                </c:pt>
                <c:pt idx="4">
                  <c:v>iPhone 15</c:v>
                </c:pt>
                <c:pt idx="5">
                  <c:v>iPhone 15 Pro Max</c:v>
                </c:pt>
              </c:strCache>
            </c:strRef>
          </c:cat>
          <c:val>
            <c:numRef>
              <c:f>'PIVOT TABLE'!$H$4:$H$10</c:f>
              <c:numCache>
                <c:formatCode>[$$-45C]#,##0.00</c:formatCode>
                <c:ptCount val="6"/>
                <c:pt idx="0">
                  <c:v>19364</c:v>
                </c:pt>
                <c:pt idx="1">
                  <c:v>21017</c:v>
                </c:pt>
                <c:pt idx="2">
                  <c:v>16908</c:v>
                </c:pt>
                <c:pt idx="3">
                  <c:v>36612</c:v>
                </c:pt>
                <c:pt idx="4">
                  <c:v>22608</c:v>
                </c:pt>
                <c:pt idx="5">
                  <c:v>30366</c:v>
                </c:pt>
              </c:numCache>
            </c:numRef>
          </c:val>
          <c:smooth val="0"/>
          <c:extLst>
            <c:ext xmlns:c16="http://schemas.microsoft.com/office/drawing/2014/chart" uri="{C3380CC4-5D6E-409C-BE32-E72D297353CC}">
              <c16:uniqueId val="{00000001-A989-4D3C-B6BB-4BD09CC8F85E}"/>
            </c:ext>
          </c:extLst>
        </c:ser>
        <c:dLbls>
          <c:showLegendKey val="0"/>
          <c:showVal val="0"/>
          <c:showCatName val="0"/>
          <c:showSerName val="0"/>
          <c:showPercent val="0"/>
          <c:showBubbleSize val="0"/>
        </c:dLbls>
        <c:marker val="1"/>
        <c:smooth val="0"/>
        <c:axId val="1668033536"/>
        <c:axId val="1668012416"/>
      </c:lineChart>
      <c:catAx>
        <c:axId val="166803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668012416"/>
        <c:crosses val="autoZero"/>
        <c:auto val="1"/>
        <c:lblAlgn val="ctr"/>
        <c:lblOffset val="100"/>
        <c:noMultiLvlLbl val="0"/>
      </c:catAx>
      <c:valAx>
        <c:axId val="1668012416"/>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668033536"/>
        <c:crosses val="autoZero"/>
        <c:crossBetween val="between"/>
      </c:valAx>
      <c:valAx>
        <c:axId val="16680412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1668042176"/>
        <c:crosses val="max"/>
        <c:crossBetween val="between"/>
      </c:valAx>
      <c:catAx>
        <c:axId val="1668042176"/>
        <c:scaling>
          <c:orientation val="minMax"/>
        </c:scaling>
        <c:delete val="1"/>
        <c:axPos val="l"/>
        <c:numFmt formatCode="General" sourceLinked="1"/>
        <c:majorTickMark val="out"/>
        <c:minorTickMark val="none"/>
        <c:tickLblPos val="nextTo"/>
        <c:crossAx val="1668041216"/>
        <c:crosses val="autoZero"/>
        <c:auto val="1"/>
        <c:lblAlgn val="ctr"/>
        <c:lblOffset val="100"/>
        <c:noMultiLvlLbl val="0"/>
      </c:catAx>
      <c:spPr>
        <a:noFill/>
        <a:ln>
          <a:noFill/>
        </a:ln>
        <a:effectLst/>
      </c:spPr>
    </c:plotArea>
    <c:plotVisOnly val="1"/>
    <c:dispBlanksAs val="gap"/>
    <c:showDLblsOverMax val="0"/>
    <c:extLst>
      <c:ext uri="{0b15fc19-7d7d-44ad-8c2d-2c3a37ce22c3}">
        <chartProps xmlns="https://web.wps.cn/et/2018/main" chartId="{7dc84c80-159c-472b-b2f8-8a84080f153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three countries</a:t>
            </a:r>
          </a:p>
          <a:p>
            <a:pPr>
              <a:defRPr/>
            </a:pPr>
            <a:endParaRPr lang="en-US"/>
          </a:p>
        </c:rich>
      </c:tx>
      <c:layout>
        <c:manualLayout>
          <c:xMode val="edge"/>
          <c:yMode val="edge"/>
          <c:x val="0.35519822026422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s>
    <c:plotArea>
      <c:layout>
        <c:manualLayout>
          <c:layoutTarget val="inner"/>
          <c:xMode val="edge"/>
          <c:yMode val="edge"/>
          <c:x val="0.32567636644534648"/>
          <c:y val="0.2270848102750043"/>
          <c:w val="0.41233256072636015"/>
          <c:h val="0.68578922426363376"/>
        </c:manualLayout>
      </c:layout>
      <c:pieChart>
        <c:varyColors val="1"/>
        <c:ser>
          <c:idx val="0"/>
          <c:order val="0"/>
          <c:tx>
            <c:strRef>
              <c:f>'PIVOT TABLE'!$K$45</c:f>
              <c:strCache>
                <c:ptCount val="1"/>
                <c:pt idx="0">
                  <c:v>Total</c:v>
                </c:pt>
              </c:strCache>
            </c:strRef>
          </c:tx>
          <c:spPr>
            <a:solidFill>
              <a:schemeClr val="accent5"/>
            </a:solidFill>
          </c:spPr>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2FA6-4881-95F0-B1F3398CDC70}"/>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2FA6-4881-95F0-B1F3398CDC7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FA6-4881-95F0-B1F3398CD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TABLE'!$J$46:$J$49</c:f>
              <c:strCache>
                <c:ptCount val="3"/>
                <c:pt idx="0">
                  <c:v>USA</c:v>
                </c:pt>
                <c:pt idx="1">
                  <c:v>UK</c:v>
                </c:pt>
                <c:pt idx="2">
                  <c:v>Canada</c:v>
                </c:pt>
              </c:strCache>
            </c:strRef>
          </c:cat>
          <c:val>
            <c:numRef>
              <c:f>'PIVOT TABLE'!$K$46:$K$49</c:f>
              <c:numCache>
                <c:formatCode>[$$-45C]#,##0.00</c:formatCode>
                <c:ptCount val="3"/>
                <c:pt idx="0">
                  <c:v>33451</c:v>
                </c:pt>
                <c:pt idx="1">
                  <c:v>33148</c:v>
                </c:pt>
                <c:pt idx="2">
                  <c:v>26289</c:v>
                </c:pt>
              </c:numCache>
            </c:numRef>
          </c:val>
          <c:extLst>
            <c:ext xmlns:c16="http://schemas.microsoft.com/office/drawing/2014/chart" uri="{C3380CC4-5D6E-409C-BE32-E72D297353CC}">
              <c16:uniqueId val="{00000006-2FA6-4881-95F0-B1F3398CDC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three payment method</a:t>
            </a:r>
            <a:endParaRPr lang="en-US"/>
          </a:p>
        </c:rich>
      </c:tx>
      <c:layout>
        <c:manualLayout>
          <c:xMode val="edge"/>
          <c:yMode val="edge"/>
          <c:x val="0.32630720314294753"/>
          <c:y val="4.2108045846787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w="19050">
            <a:solidFill>
              <a:schemeClr val="bg1"/>
            </a:solidFill>
          </a:ln>
          <a:effectLst/>
        </c:spPr>
      </c:pivotFmt>
      <c:pivotFmt>
        <c:idx val="14"/>
        <c:spPr>
          <a:solidFill>
            <a:schemeClr val="accent6">
              <a:lumMod val="60000"/>
              <a:lumOff val="40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3162777380100214"/>
          <c:y val="0.25836703865254251"/>
          <c:w val="0.34066510185169774"/>
          <c:h val="0.57962083876206116"/>
        </c:manualLayout>
      </c:layout>
      <c:pieChart>
        <c:varyColors val="1"/>
        <c:ser>
          <c:idx val="0"/>
          <c:order val="0"/>
          <c:tx>
            <c:strRef>
              <c:f>'PIVOT TABLE'!$F$29</c:f>
              <c:strCache>
                <c:ptCount val="1"/>
                <c:pt idx="0">
                  <c:v>Sum of Quantity</c:v>
                </c:pt>
              </c:strCache>
            </c:strRef>
          </c:tx>
          <c:dPt>
            <c:idx val="0"/>
            <c:bubble3D val="0"/>
            <c:spPr>
              <a:solidFill>
                <a:schemeClr val="accent6">
                  <a:lumMod val="20000"/>
                  <a:lumOff val="80000"/>
                </a:schemeClr>
              </a:solidFill>
              <a:ln w="19050">
                <a:solidFill>
                  <a:schemeClr val="bg1"/>
                </a:solidFill>
              </a:ln>
              <a:effectLst/>
            </c:spPr>
            <c:extLst>
              <c:ext xmlns:c16="http://schemas.microsoft.com/office/drawing/2014/chart" uri="{C3380CC4-5D6E-409C-BE32-E72D297353CC}">
                <c16:uniqueId val="{00000001-0B8B-4500-A06E-4F4F246AF83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B8B-4500-A06E-4F4F246AF83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B8B-4500-A06E-4F4F246AF830}"/>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0B8B-4500-A06E-4F4F246AF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TABLE'!$E$30:$E$34</c:f>
              <c:strCache>
                <c:ptCount val="4"/>
                <c:pt idx="0">
                  <c:v>Debit Card</c:v>
                </c:pt>
                <c:pt idx="1">
                  <c:v>Credit Card</c:v>
                </c:pt>
                <c:pt idx="2">
                  <c:v>Cash</c:v>
                </c:pt>
                <c:pt idx="3">
                  <c:v>PayPal</c:v>
                </c:pt>
              </c:strCache>
            </c:strRef>
          </c:cat>
          <c:val>
            <c:numRef>
              <c:f>'PIVOT TABLE'!$F$30:$F$34</c:f>
              <c:numCache>
                <c:formatCode>General</c:formatCode>
                <c:ptCount val="4"/>
                <c:pt idx="0">
                  <c:v>133</c:v>
                </c:pt>
                <c:pt idx="1">
                  <c:v>76</c:v>
                </c:pt>
                <c:pt idx="2">
                  <c:v>69</c:v>
                </c:pt>
                <c:pt idx="3">
                  <c:v>55</c:v>
                </c:pt>
              </c:numCache>
            </c:numRef>
          </c:val>
          <c:extLst>
            <c:ext xmlns:c16="http://schemas.microsoft.com/office/drawing/2014/chart" uri="{C3380CC4-5D6E-409C-BE32-E72D297353CC}">
              <c16:uniqueId val="{00000008-0B8B-4500-A06E-4F4F246AF830}"/>
            </c:ext>
          </c:extLst>
        </c:ser>
        <c:ser>
          <c:idx val="1"/>
          <c:order val="1"/>
          <c:tx>
            <c:strRef>
              <c:f>'PIVOT TABLE'!$G$29</c:f>
              <c:strCache>
                <c:ptCount val="1"/>
                <c:pt idx="0">
                  <c:v>Sum of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B8B-4500-A06E-4F4F246AF8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B8B-4500-A06E-4F4F246AF8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B8B-4500-A06E-4F4F246AF8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B8B-4500-A06E-4F4F246AF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TABLE'!$E$30:$E$34</c:f>
              <c:strCache>
                <c:ptCount val="4"/>
                <c:pt idx="0">
                  <c:v>Debit Card</c:v>
                </c:pt>
                <c:pt idx="1">
                  <c:v>Credit Card</c:v>
                </c:pt>
                <c:pt idx="2">
                  <c:v>Cash</c:v>
                </c:pt>
                <c:pt idx="3">
                  <c:v>PayPal</c:v>
                </c:pt>
              </c:strCache>
            </c:strRef>
          </c:cat>
          <c:val>
            <c:numRef>
              <c:f>'PIVOT TABLE'!$G$30:$G$34</c:f>
              <c:numCache>
                <c:formatCode>[$$-45C]#,##0.00</c:formatCode>
                <c:ptCount val="4"/>
                <c:pt idx="0">
                  <c:v>55425</c:v>
                </c:pt>
                <c:pt idx="1">
                  <c:v>37832</c:v>
                </c:pt>
                <c:pt idx="2">
                  <c:v>26716</c:v>
                </c:pt>
                <c:pt idx="3">
                  <c:v>26902</c:v>
                </c:pt>
              </c:numCache>
            </c:numRef>
          </c:val>
          <c:extLst>
            <c:ext xmlns:c16="http://schemas.microsoft.com/office/drawing/2014/chart" uri="{C3380CC4-5D6E-409C-BE32-E72D297353CC}">
              <c16:uniqueId val="{00000011-0B8B-4500-A06E-4F4F246AF8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TABLE!PivotTable4</c:name>
    <c:fmtId val="6"/>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Iphone model by quantity</a:t>
            </a:r>
          </a:p>
        </c:rich>
      </c:tx>
      <c:layout>
        <c:manualLayout>
          <c:xMode val="edge"/>
          <c:yMode val="edge"/>
          <c:x val="0.21082669600719284"/>
          <c:y val="9.5766103007615868E-3"/>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33"/>
          </a:solidFill>
          <a:ln>
            <a:noFill/>
          </a:ln>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73614641284967E-2"/>
          <c:y val="0.18117402560174856"/>
          <c:w val="0.88911386076740395"/>
          <c:h val="0.65421381806828005"/>
        </c:manualLayout>
      </c:layout>
      <c:barChart>
        <c:barDir val="col"/>
        <c:grouping val="clustered"/>
        <c:varyColors val="0"/>
        <c:ser>
          <c:idx val="0"/>
          <c:order val="0"/>
          <c:tx>
            <c:strRef>
              <c:f>'PIVOT TABLE'!$B$3</c:f>
              <c:strCache>
                <c:ptCount val="1"/>
                <c:pt idx="0">
                  <c:v>Total</c:v>
                </c:pt>
              </c:strCache>
            </c:strRef>
          </c:tx>
          <c:spPr>
            <a:solidFill>
              <a:srgbClr val="33CC33"/>
            </a:solidFill>
            <a:ln>
              <a:noFill/>
            </a:ln>
            <a:effectLst/>
            <a:scene3d>
              <a:camera prst="orthographicFront"/>
              <a:lightRig rig="threePt" dir="t"/>
            </a:scene3d>
          </c:spPr>
          <c:invertIfNegative val="0"/>
          <c:cat>
            <c:strRef>
              <c:f>'PIVOT TABLE'!$A$4:$A$10</c:f>
              <c:strCache>
                <c:ptCount val="6"/>
                <c:pt idx="0">
                  <c:v>iPhone 15 Pro Max</c:v>
                </c:pt>
                <c:pt idx="1">
                  <c:v>iPhone 14 Pro</c:v>
                </c:pt>
                <c:pt idx="2">
                  <c:v>iPhone 13</c:v>
                </c:pt>
                <c:pt idx="3">
                  <c:v>iPhone 15</c:v>
                </c:pt>
                <c:pt idx="4">
                  <c:v>iPhone 12</c:v>
                </c:pt>
                <c:pt idx="5">
                  <c:v>iPhone 14</c:v>
                </c:pt>
              </c:strCache>
            </c:strRef>
          </c:cat>
          <c:val>
            <c:numRef>
              <c:f>'PIVOT TABLE'!$B$4:$B$10</c:f>
              <c:numCache>
                <c:formatCode>General</c:formatCode>
                <c:ptCount val="6"/>
                <c:pt idx="0">
                  <c:v>73</c:v>
                </c:pt>
                <c:pt idx="1">
                  <c:v>66</c:v>
                </c:pt>
                <c:pt idx="2">
                  <c:v>59</c:v>
                </c:pt>
                <c:pt idx="3">
                  <c:v>57</c:v>
                </c:pt>
                <c:pt idx="4">
                  <c:v>42</c:v>
                </c:pt>
                <c:pt idx="5">
                  <c:v>36</c:v>
                </c:pt>
              </c:numCache>
            </c:numRef>
          </c:val>
          <c:extLst>
            <c:ext xmlns:c16="http://schemas.microsoft.com/office/drawing/2014/chart" uri="{C3380CC4-5D6E-409C-BE32-E72D297353CC}">
              <c16:uniqueId val="{00000000-6C38-4EC4-B790-5E887631F196}"/>
            </c:ext>
          </c:extLst>
        </c:ser>
        <c:dLbls>
          <c:showLegendKey val="0"/>
          <c:showVal val="0"/>
          <c:showCatName val="0"/>
          <c:showSerName val="0"/>
          <c:showPercent val="0"/>
          <c:showBubbleSize val="0"/>
        </c:dLbls>
        <c:gapWidth val="219"/>
        <c:overlap val="-27"/>
        <c:axId val="1399705216"/>
        <c:axId val="1399700896"/>
      </c:barChart>
      <c:catAx>
        <c:axId val="13997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399700896"/>
        <c:crosses val="autoZero"/>
        <c:auto val="1"/>
        <c:lblAlgn val="ctr"/>
        <c:lblOffset val="100"/>
        <c:noMultiLvlLbl val="0"/>
      </c:catAx>
      <c:valAx>
        <c:axId val="139970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399705216"/>
        <c:crosses val="autoZero"/>
        <c:crossBetween val="between"/>
      </c:valAx>
      <c:spPr>
        <a:noFill/>
        <a:ln>
          <a:noFill/>
        </a:ln>
        <a:effectLst/>
      </c:spPr>
    </c:plotArea>
    <c:plotVisOnly val="1"/>
    <c:dispBlanksAs val="gap"/>
    <c:showDLblsOverMax val="0"/>
    <c:extLst>
      <c:ext uri="{0b15fc19-7d7d-44ad-8c2d-2c3a37ce22c3}">
        <chartProps xmlns="https://web.wps.cn/et/2018/main" chartId="{33ce69e1-3ea5-4273-b60d-a8177b9ff3da}"/>
      </c:ext>
    </c:extLst>
  </c:chart>
  <c:spPr>
    <a:solidFill>
      <a:srgbClr val="33CC33">
        <a:alpha val="10196"/>
      </a:srgbClr>
    </a:solidFill>
    <a:ln w="9525" cap="flat" cmpd="sng" algn="ctr">
      <a:noFill/>
      <a:round/>
    </a:ln>
    <a:effectLst>
      <a:outerShdw blurRad="50800" dist="38100" dir="5400000" algn="t" rotWithShape="0">
        <a:prstClr val="black">
          <a:alpha val="40000"/>
        </a:prstClr>
      </a:outerShdw>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TABLE!PivotTable2</c:name>
    <c:fmtId val="7"/>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Iphone</a:t>
            </a:r>
            <a:r>
              <a:rPr lang="en-US" sz="1600" b="1" baseline="0">
                <a:latin typeface="Times New Roman" panose="02020603050405020304" pitchFamily="18" charset="0"/>
                <a:cs typeface="Times New Roman" panose="02020603050405020304" pitchFamily="18" charset="0"/>
              </a:rPr>
              <a:t> model by quantity and amount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 TABLE'!$I$3</c:f>
              <c:strCache>
                <c:ptCount val="1"/>
                <c:pt idx="0">
                  <c:v>Sum of Quantity</c:v>
                </c:pt>
              </c:strCache>
            </c:strRef>
          </c:tx>
          <c:spPr>
            <a:solidFill>
              <a:srgbClr val="33CC33"/>
            </a:solidFill>
            <a:ln>
              <a:noFill/>
            </a:ln>
            <a:effectLst/>
          </c:spPr>
          <c:invertIfNegative val="0"/>
          <c:cat>
            <c:strRef>
              <c:f>'PIVOT TABLE'!$G$4:$G$10</c:f>
              <c:strCache>
                <c:ptCount val="6"/>
                <c:pt idx="0">
                  <c:v>iPhone 12</c:v>
                </c:pt>
                <c:pt idx="1">
                  <c:v>iPhone 13</c:v>
                </c:pt>
                <c:pt idx="2">
                  <c:v>iPhone 14</c:v>
                </c:pt>
                <c:pt idx="3">
                  <c:v>iPhone 14 Pro</c:v>
                </c:pt>
                <c:pt idx="4">
                  <c:v>iPhone 15</c:v>
                </c:pt>
                <c:pt idx="5">
                  <c:v>iPhone 15 Pro Max</c:v>
                </c:pt>
              </c:strCache>
            </c:strRef>
          </c:cat>
          <c:val>
            <c:numRef>
              <c:f>'PIVOT TABLE'!$I$4:$I$10</c:f>
              <c:numCache>
                <c:formatCode>General</c:formatCode>
                <c:ptCount val="6"/>
                <c:pt idx="0">
                  <c:v>42</c:v>
                </c:pt>
                <c:pt idx="1">
                  <c:v>59</c:v>
                </c:pt>
                <c:pt idx="2">
                  <c:v>36</c:v>
                </c:pt>
                <c:pt idx="3">
                  <c:v>66</c:v>
                </c:pt>
                <c:pt idx="4">
                  <c:v>57</c:v>
                </c:pt>
                <c:pt idx="5">
                  <c:v>73</c:v>
                </c:pt>
              </c:numCache>
            </c:numRef>
          </c:val>
          <c:extLst>
            <c:ext xmlns:c16="http://schemas.microsoft.com/office/drawing/2014/chart" uri="{C3380CC4-5D6E-409C-BE32-E72D297353CC}">
              <c16:uniqueId val="{00000000-C670-486D-8F38-EDE2781EB39D}"/>
            </c:ext>
          </c:extLst>
        </c:ser>
        <c:dLbls>
          <c:showLegendKey val="0"/>
          <c:showVal val="0"/>
          <c:showCatName val="0"/>
          <c:showSerName val="0"/>
          <c:showPercent val="0"/>
          <c:showBubbleSize val="0"/>
        </c:dLbls>
        <c:gapWidth val="219"/>
        <c:axId val="1668042176"/>
        <c:axId val="1668041216"/>
      </c:barChart>
      <c:lineChart>
        <c:grouping val="standard"/>
        <c:varyColors val="0"/>
        <c:ser>
          <c:idx val="0"/>
          <c:order val="0"/>
          <c:tx>
            <c:strRef>
              <c:f>'PIVOT TABLE'!$H$3</c:f>
              <c:strCache>
                <c:ptCount val="1"/>
                <c:pt idx="0">
                  <c:v>Sum of Price</c:v>
                </c:pt>
              </c:strCache>
            </c:strRef>
          </c:tx>
          <c:spPr>
            <a:ln w="28575" cap="rnd">
              <a:solidFill>
                <a:schemeClr val="accent3"/>
              </a:solidFill>
              <a:round/>
            </a:ln>
            <a:effectLst/>
          </c:spPr>
          <c:marker>
            <c:symbol val="none"/>
          </c:marker>
          <c:cat>
            <c:strRef>
              <c:f>'PIVOT TABLE'!$G$4:$G$10</c:f>
              <c:strCache>
                <c:ptCount val="6"/>
                <c:pt idx="0">
                  <c:v>iPhone 12</c:v>
                </c:pt>
                <c:pt idx="1">
                  <c:v>iPhone 13</c:v>
                </c:pt>
                <c:pt idx="2">
                  <c:v>iPhone 14</c:v>
                </c:pt>
                <c:pt idx="3">
                  <c:v>iPhone 14 Pro</c:v>
                </c:pt>
                <c:pt idx="4">
                  <c:v>iPhone 15</c:v>
                </c:pt>
                <c:pt idx="5">
                  <c:v>iPhone 15 Pro Max</c:v>
                </c:pt>
              </c:strCache>
            </c:strRef>
          </c:cat>
          <c:val>
            <c:numRef>
              <c:f>'PIVOT TABLE'!$H$4:$H$10</c:f>
              <c:numCache>
                <c:formatCode>[$$-45C]#,##0.00</c:formatCode>
                <c:ptCount val="6"/>
                <c:pt idx="0">
                  <c:v>19364</c:v>
                </c:pt>
                <c:pt idx="1">
                  <c:v>21017</c:v>
                </c:pt>
                <c:pt idx="2">
                  <c:v>16908</c:v>
                </c:pt>
                <c:pt idx="3">
                  <c:v>36612</c:v>
                </c:pt>
                <c:pt idx="4">
                  <c:v>22608</c:v>
                </c:pt>
                <c:pt idx="5">
                  <c:v>30366</c:v>
                </c:pt>
              </c:numCache>
            </c:numRef>
          </c:val>
          <c:smooth val="0"/>
          <c:extLst>
            <c:ext xmlns:c16="http://schemas.microsoft.com/office/drawing/2014/chart" uri="{C3380CC4-5D6E-409C-BE32-E72D297353CC}">
              <c16:uniqueId val="{00000001-C670-486D-8F38-EDE2781EB39D}"/>
            </c:ext>
          </c:extLst>
        </c:ser>
        <c:dLbls>
          <c:showLegendKey val="0"/>
          <c:showVal val="0"/>
          <c:showCatName val="0"/>
          <c:showSerName val="0"/>
          <c:showPercent val="0"/>
          <c:showBubbleSize val="0"/>
        </c:dLbls>
        <c:marker val="1"/>
        <c:smooth val="0"/>
        <c:axId val="1668033536"/>
        <c:axId val="1668012416"/>
      </c:lineChart>
      <c:catAx>
        <c:axId val="166803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NG"/>
          </a:p>
        </c:txPr>
        <c:crossAx val="1668012416"/>
        <c:crosses val="autoZero"/>
        <c:auto val="1"/>
        <c:lblAlgn val="ctr"/>
        <c:lblOffset val="100"/>
        <c:noMultiLvlLbl val="0"/>
      </c:catAx>
      <c:valAx>
        <c:axId val="1668012416"/>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668033536"/>
        <c:crosses val="autoZero"/>
        <c:crossBetween val="between"/>
      </c:valAx>
      <c:valAx>
        <c:axId val="16680412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668042176"/>
        <c:crosses val="max"/>
        <c:crossBetween val="between"/>
      </c:valAx>
      <c:catAx>
        <c:axId val="1668042176"/>
        <c:scaling>
          <c:orientation val="minMax"/>
        </c:scaling>
        <c:delete val="1"/>
        <c:axPos val="l"/>
        <c:numFmt formatCode="General" sourceLinked="1"/>
        <c:majorTickMark val="out"/>
        <c:minorTickMark val="none"/>
        <c:tickLblPos val="nextTo"/>
        <c:crossAx val="1668041216"/>
        <c:crosses val="autoZero"/>
        <c:auto val="1"/>
        <c:lblAlgn val="ctr"/>
        <c:lblOffset val="100"/>
        <c:noMultiLvlLbl val="0"/>
      </c:catAx>
      <c:spPr>
        <a:noFill/>
        <a:ln>
          <a:noFill/>
        </a:ln>
        <a:effectLst/>
      </c:spPr>
    </c:plotArea>
    <c:plotVisOnly val="1"/>
    <c:dispBlanksAs val="gap"/>
    <c:showDLblsOverMax val="0"/>
    <c:extLst>
      <c:ext uri="{0b15fc19-7d7d-44ad-8c2d-2c3a37ce22c3}">
        <chartProps xmlns="https://web.wps.cn/et/2018/main" chartId="{7dc84c80-159c-472b-b2f8-8a84080f1537}"/>
      </c:ext>
    </c:extLst>
  </c:chart>
  <c:spPr>
    <a:solidFill>
      <a:srgbClr val="33CC33">
        <a:alpha val="10196"/>
      </a:srgbClr>
    </a:solidFill>
    <a:ln w="9525" cap="flat" cmpd="sng" algn="ctr">
      <a:noFill/>
      <a:round/>
    </a:ln>
    <a:effectLst>
      <a:outerShdw blurRad="50800" dist="38100" dir="5400000" algn="t" rotWithShape="0">
        <a:prstClr val="black">
          <a:alpha val="40000"/>
        </a:prstClr>
      </a:outerShdw>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Top</a:t>
            </a:r>
            <a:r>
              <a:rPr lang="en-US" sz="1600" b="1" baseline="0">
                <a:latin typeface="Times New Roman" panose="02020603050405020304" pitchFamily="18" charset="0"/>
                <a:cs typeface="Times New Roman" panose="02020603050405020304" pitchFamily="18" charset="0"/>
              </a:rPr>
              <a:t> three countries</a:t>
            </a:r>
          </a:p>
          <a:p>
            <a:pPr>
              <a:defRPr/>
            </a:pPr>
            <a:endParaRPr lang="en-US"/>
          </a:p>
        </c:rich>
      </c:tx>
      <c:layout>
        <c:manualLayout>
          <c:xMode val="edge"/>
          <c:yMode val="edge"/>
          <c:x val="0.35519822026422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rgbClr val="33CC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rgbClr val="33CC33"/>
          </a:solidFill>
          <a:ln w="19050">
            <a:solidFill>
              <a:schemeClr val="lt1"/>
            </a:solidFill>
          </a:ln>
          <a:effectLst/>
        </c:spPr>
      </c:pivotFmt>
    </c:pivotFmts>
    <c:plotArea>
      <c:layout>
        <c:manualLayout>
          <c:layoutTarget val="inner"/>
          <c:xMode val="edge"/>
          <c:yMode val="edge"/>
          <c:x val="0.32567636644534648"/>
          <c:y val="0.2270848102750043"/>
          <c:w val="0.41233256072636015"/>
          <c:h val="0.68578922426363376"/>
        </c:manualLayout>
      </c:layout>
      <c:pieChart>
        <c:varyColors val="1"/>
        <c:ser>
          <c:idx val="0"/>
          <c:order val="0"/>
          <c:tx>
            <c:strRef>
              <c:f>'PIVOT TABLE'!$K$45</c:f>
              <c:strCache>
                <c:ptCount val="1"/>
                <c:pt idx="0">
                  <c:v>Total</c:v>
                </c:pt>
              </c:strCache>
            </c:strRef>
          </c:tx>
          <c:spPr>
            <a:solidFill>
              <a:srgbClr val="33CC33"/>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FA61-4714-894D-B02FF1DBF3A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A61-4714-894D-B02FF1DBF3A4}"/>
              </c:ext>
            </c:extLst>
          </c:dPt>
          <c:dPt>
            <c:idx val="2"/>
            <c:bubble3D val="0"/>
            <c:spPr>
              <a:solidFill>
                <a:srgbClr val="33CC33"/>
              </a:solidFill>
              <a:ln w="19050">
                <a:solidFill>
                  <a:schemeClr val="lt1"/>
                </a:solidFill>
              </a:ln>
              <a:effectLst/>
            </c:spPr>
            <c:extLst>
              <c:ext xmlns:c16="http://schemas.microsoft.com/office/drawing/2014/chart" uri="{C3380CC4-5D6E-409C-BE32-E72D297353CC}">
                <c16:uniqueId val="{00000005-FA61-4714-894D-B02FF1DB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TABLE'!$J$46:$J$49</c:f>
              <c:strCache>
                <c:ptCount val="3"/>
                <c:pt idx="0">
                  <c:v>USA</c:v>
                </c:pt>
                <c:pt idx="1">
                  <c:v>UK</c:v>
                </c:pt>
                <c:pt idx="2">
                  <c:v>Canada</c:v>
                </c:pt>
              </c:strCache>
            </c:strRef>
          </c:cat>
          <c:val>
            <c:numRef>
              <c:f>'PIVOT TABLE'!$K$46:$K$49</c:f>
              <c:numCache>
                <c:formatCode>[$$-45C]#,##0.00</c:formatCode>
                <c:ptCount val="3"/>
                <c:pt idx="0">
                  <c:v>33451</c:v>
                </c:pt>
                <c:pt idx="1">
                  <c:v>33148</c:v>
                </c:pt>
                <c:pt idx="2">
                  <c:v>26289</c:v>
                </c:pt>
              </c:numCache>
            </c:numRef>
          </c:val>
          <c:extLst>
            <c:ext xmlns:c16="http://schemas.microsoft.com/office/drawing/2014/chart" uri="{C3380CC4-5D6E-409C-BE32-E72D297353CC}">
              <c16:uniqueId val="{00000006-FA61-4714-894D-B02FF1DBF3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CC33">
        <a:alpha val="10196"/>
      </a:srgbClr>
    </a:solidFill>
    <a:ln w="9525" cap="flat" cmpd="sng" algn="ctr">
      <a:no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TABLE!PivotTable1</c:name>
    <c:fmtId val="5"/>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Iphone model by total price</a:t>
            </a:r>
          </a:p>
        </c:rich>
      </c:tx>
      <c:layout>
        <c:manualLayout>
          <c:xMode val="edge"/>
          <c:yMode val="edge"/>
          <c:x val="0.22277048702245553"/>
          <c:y val="2.6757157447369288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2">
                <a:lumMod val="50000"/>
                <a:lumOff val="50000"/>
              </a:schemeClr>
            </a:solidFill>
          </a:ln>
          <a:effectLst/>
        </c:spPr>
      </c:pivotFmt>
      <c:pivotFmt>
        <c:idx val="2"/>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CC33"/>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45703074244434"/>
          <c:y val="0.12634072414588346"/>
          <c:w val="0.60990930589121906"/>
          <c:h val="0.79028959246203012"/>
        </c:manualLayout>
      </c:layout>
      <c:barChart>
        <c:barDir val="bar"/>
        <c:grouping val="clustered"/>
        <c:varyColors val="0"/>
        <c:ser>
          <c:idx val="0"/>
          <c:order val="0"/>
          <c:tx>
            <c:strRef>
              <c:f>'PIVOT TABLE'!$E$3</c:f>
              <c:strCache>
                <c:ptCount val="1"/>
                <c:pt idx="0">
                  <c:v>Total</c:v>
                </c:pt>
              </c:strCache>
            </c:strRef>
          </c:tx>
          <c:spPr>
            <a:solidFill>
              <a:srgbClr val="33CC33"/>
            </a:solidFill>
            <a:ln>
              <a:solidFill>
                <a:schemeClr val="tx2">
                  <a:lumMod val="50000"/>
                  <a:lumOff val="50000"/>
                </a:schemeClr>
              </a:solidFill>
            </a:ln>
            <a:effectLst/>
          </c:spPr>
          <c:invertIfNegative val="0"/>
          <c:cat>
            <c:strRef>
              <c:f>'PIVOT TABLE'!$D$4:$D$10</c:f>
              <c:strCache>
                <c:ptCount val="6"/>
                <c:pt idx="0">
                  <c:v>iPhone 14 Pro</c:v>
                </c:pt>
                <c:pt idx="1">
                  <c:v>iPhone 15 Pro Max</c:v>
                </c:pt>
                <c:pt idx="2">
                  <c:v>iPhone 15</c:v>
                </c:pt>
                <c:pt idx="3">
                  <c:v>iPhone 13</c:v>
                </c:pt>
                <c:pt idx="4">
                  <c:v>iPhone 12</c:v>
                </c:pt>
                <c:pt idx="5">
                  <c:v>iPhone 14</c:v>
                </c:pt>
              </c:strCache>
            </c:strRef>
          </c:cat>
          <c:val>
            <c:numRef>
              <c:f>'PIVOT TABLE'!$E$4:$E$10</c:f>
              <c:numCache>
                <c:formatCode>[$$-45C]#,##0.00</c:formatCode>
                <c:ptCount val="6"/>
                <c:pt idx="0">
                  <c:v>36612</c:v>
                </c:pt>
                <c:pt idx="1">
                  <c:v>30366</c:v>
                </c:pt>
                <c:pt idx="2">
                  <c:v>22608</c:v>
                </c:pt>
                <c:pt idx="3">
                  <c:v>21017</c:v>
                </c:pt>
                <c:pt idx="4">
                  <c:v>19364</c:v>
                </c:pt>
                <c:pt idx="5">
                  <c:v>16908</c:v>
                </c:pt>
              </c:numCache>
            </c:numRef>
          </c:val>
          <c:extLst>
            <c:ext xmlns:c16="http://schemas.microsoft.com/office/drawing/2014/chart" uri="{C3380CC4-5D6E-409C-BE32-E72D297353CC}">
              <c16:uniqueId val="{00000000-B4EE-434B-BD99-674C2CEF91FF}"/>
            </c:ext>
          </c:extLst>
        </c:ser>
        <c:dLbls>
          <c:showLegendKey val="0"/>
          <c:showVal val="0"/>
          <c:showCatName val="0"/>
          <c:showSerName val="0"/>
          <c:showPercent val="0"/>
          <c:showBubbleSize val="0"/>
        </c:dLbls>
        <c:gapWidth val="182"/>
        <c:axId val="1208579552"/>
        <c:axId val="1208576192"/>
      </c:barChart>
      <c:catAx>
        <c:axId val="120857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208576192"/>
        <c:crosses val="autoZero"/>
        <c:auto val="1"/>
        <c:lblAlgn val="ctr"/>
        <c:lblOffset val="100"/>
        <c:noMultiLvlLbl val="0"/>
      </c:catAx>
      <c:valAx>
        <c:axId val="1208576192"/>
        <c:scaling>
          <c:orientation val="minMax"/>
        </c:scaling>
        <c:delete val="0"/>
        <c:axPos val="b"/>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208579552"/>
        <c:crosses val="autoZero"/>
        <c:crossBetween val="between"/>
      </c:valAx>
      <c:spPr>
        <a:noFill/>
        <a:ln>
          <a:noFill/>
        </a:ln>
        <a:effectLst/>
      </c:spPr>
    </c:plotArea>
    <c:plotVisOnly val="1"/>
    <c:dispBlanksAs val="gap"/>
    <c:showDLblsOverMax val="0"/>
    <c:extLst>
      <c:ext uri="{0b15fc19-7d7d-44ad-8c2d-2c3a37ce22c3}">
        <chartProps xmlns="https://web.wps.cn/et/2018/main" chartId="{ca2caaaf-a32d-4cc3-bd87-1366e48203ab}"/>
      </c:ext>
    </c:extLst>
  </c:chart>
  <c:spPr>
    <a:solidFill>
      <a:srgbClr val="33CC33">
        <a:alpha val="10196"/>
      </a:srgbClr>
    </a:solidFill>
    <a:ln w="9525" cap="flat" cmpd="sng" algn="ctr">
      <a:noFill/>
      <a:round/>
    </a:ln>
    <a:effectLst>
      <a:outerShdw blurRad="50800" dist="38100" dir="5400000" algn="t" rotWithShape="0">
        <a:prstClr val="black">
          <a:alpha val="40000"/>
        </a:prstClr>
      </a:outerShdw>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TABLE!PivotTable9</c:name>
    <c:fmtId val="5"/>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Trend</a:t>
            </a:r>
            <a:r>
              <a:rPr lang="en-US" sz="1600" b="1" baseline="0">
                <a:latin typeface="Times New Roman" panose="02020603050405020304" pitchFamily="18" charset="0"/>
                <a:cs typeface="Times New Roman" panose="02020603050405020304" pitchFamily="18" charset="0"/>
              </a:rPr>
              <a:t> of sales by month</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a:solidFill>
              <a:srgbClr val="33CC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5252802078738"/>
          <c:y val="0.16942093175853018"/>
          <c:w val="0.83754747197921264"/>
          <c:h val="0.65890128317293695"/>
        </c:manualLayout>
      </c:layout>
      <c:lineChart>
        <c:grouping val="standard"/>
        <c:varyColors val="0"/>
        <c:ser>
          <c:idx val="0"/>
          <c:order val="0"/>
          <c:tx>
            <c:strRef>
              <c:f>'PIVOT TABLE'!$B$29</c:f>
              <c:strCache>
                <c:ptCount val="1"/>
                <c:pt idx="0">
                  <c:v>Sum of Quantity</c:v>
                </c:pt>
              </c:strCache>
            </c:strRef>
          </c:tx>
          <c:spPr>
            <a:ln w="28575" cap="rnd">
              <a:solidFill>
                <a:schemeClr val="accent1"/>
              </a:solidFill>
              <a:round/>
            </a:ln>
            <a:effectLst/>
          </c:spPr>
          <c:marker>
            <c:symbol val="none"/>
          </c:marker>
          <c:cat>
            <c:strRef>
              <c:f>'PIVOT TABLE'!$A$30:$A$35</c:f>
              <c:strCache>
                <c:ptCount val="5"/>
                <c:pt idx="0">
                  <c:v>Jan</c:v>
                </c:pt>
                <c:pt idx="1">
                  <c:v>Feb</c:v>
                </c:pt>
                <c:pt idx="2">
                  <c:v>Mar</c:v>
                </c:pt>
                <c:pt idx="3">
                  <c:v>Apr</c:v>
                </c:pt>
                <c:pt idx="4">
                  <c:v>May</c:v>
                </c:pt>
              </c:strCache>
            </c:strRef>
          </c:cat>
          <c:val>
            <c:numRef>
              <c:f>'PIVOT TABLE'!$B$30:$B$35</c:f>
              <c:numCache>
                <c:formatCode>General</c:formatCode>
                <c:ptCount val="5"/>
                <c:pt idx="0">
                  <c:v>112</c:v>
                </c:pt>
                <c:pt idx="1">
                  <c:v>66</c:v>
                </c:pt>
                <c:pt idx="2">
                  <c:v>83</c:v>
                </c:pt>
                <c:pt idx="3">
                  <c:v>62</c:v>
                </c:pt>
                <c:pt idx="4">
                  <c:v>10</c:v>
                </c:pt>
              </c:numCache>
            </c:numRef>
          </c:val>
          <c:smooth val="0"/>
          <c:extLst>
            <c:ext xmlns:c16="http://schemas.microsoft.com/office/drawing/2014/chart" uri="{C3380CC4-5D6E-409C-BE32-E72D297353CC}">
              <c16:uniqueId val="{00000000-7BA7-4EDC-A534-00F716218027}"/>
            </c:ext>
          </c:extLst>
        </c:ser>
        <c:ser>
          <c:idx val="1"/>
          <c:order val="1"/>
          <c:tx>
            <c:strRef>
              <c:f>'PIVOT TABLE'!$C$29</c:f>
              <c:strCache>
                <c:ptCount val="1"/>
                <c:pt idx="0">
                  <c:v>Sum of Price</c:v>
                </c:pt>
              </c:strCache>
            </c:strRef>
          </c:tx>
          <c:spPr>
            <a:ln w="50800" cap="rnd">
              <a:solidFill>
                <a:srgbClr val="33CC33"/>
              </a:solidFill>
              <a:round/>
            </a:ln>
            <a:effectLst/>
          </c:spPr>
          <c:marker>
            <c:symbol val="none"/>
          </c:marker>
          <c:cat>
            <c:strRef>
              <c:f>'PIVOT TABLE'!$A$30:$A$35</c:f>
              <c:strCache>
                <c:ptCount val="5"/>
                <c:pt idx="0">
                  <c:v>Jan</c:v>
                </c:pt>
                <c:pt idx="1">
                  <c:v>Feb</c:v>
                </c:pt>
                <c:pt idx="2">
                  <c:v>Mar</c:v>
                </c:pt>
                <c:pt idx="3">
                  <c:v>Apr</c:v>
                </c:pt>
                <c:pt idx="4">
                  <c:v>May</c:v>
                </c:pt>
              </c:strCache>
            </c:strRef>
          </c:cat>
          <c:val>
            <c:numRef>
              <c:f>'PIVOT TABLE'!$C$30:$C$35</c:f>
              <c:numCache>
                <c:formatCode>[$$-45C]#,##0.00</c:formatCode>
                <c:ptCount val="5"/>
                <c:pt idx="0">
                  <c:v>46129</c:v>
                </c:pt>
                <c:pt idx="1">
                  <c:v>28362</c:v>
                </c:pt>
                <c:pt idx="2">
                  <c:v>39029</c:v>
                </c:pt>
                <c:pt idx="3">
                  <c:v>29559</c:v>
                </c:pt>
                <c:pt idx="4">
                  <c:v>3796</c:v>
                </c:pt>
              </c:numCache>
            </c:numRef>
          </c:val>
          <c:smooth val="0"/>
          <c:extLst>
            <c:ext xmlns:c16="http://schemas.microsoft.com/office/drawing/2014/chart" uri="{C3380CC4-5D6E-409C-BE32-E72D297353CC}">
              <c16:uniqueId val="{00000001-7BA7-4EDC-A534-00F716218027}"/>
            </c:ext>
          </c:extLst>
        </c:ser>
        <c:dLbls>
          <c:showLegendKey val="0"/>
          <c:showVal val="0"/>
          <c:showCatName val="0"/>
          <c:showSerName val="0"/>
          <c:showPercent val="0"/>
          <c:showBubbleSize val="0"/>
        </c:dLbls>
        <c:smooth val="0"/>
        <c:axId val="1668003776"/>
        <c:axId val="1667990336"/>
      </c:lineChart>
      <c:catAx>
        <c:axId val="166800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667990336"/>
        <c:crosses val="autoZero"/>
        <c:auto val="1"/>
        <c:lblAlgn val="ctr"/>
        <c:lblOffset val="100"/>
        <c:noMultiLvlLbl val="0"/>
      </c:catAx>
      <c:valAx>
        <c:axId val="1667990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668003776"/>
        <c:crosses val="autoZero"/>
        <c:crossBetween val="between"/>
      </c:valAx>
      <c:spPr>
        <a:solidFill>
          <a:srgbClr val="00B050">
            <a:alpha val="9804"/>
          </a:srgbClr>
        </a:solidFill>
        <a:ln>
          <a:noFill/>
        </a:ln>
        <a:effectLst>
          <a:outerShdw blurRad="50800" dist="38100" dir="5400000" algn="t" rotWithShape="0">
            <a:prstClr val="black">
              <a:alpha val="40000"/>
            </a:prstClr>
          </a:outerShdw>
        </a:effectLst>
      </c:spPr>
    </c:plotArea>
    <c:plotVisOnly val="1"/>
    <c:dispBlanksAs val="gap"/>
    <c:showDLblsOverMax val="0"/>
    <c:extLst>
      <c:ext uri="{0b15fc19-7d7d-44ad-8c2d-2c3a37ce22c3}">
        <chartProps xmlns="https://web.wps.cn/et/2018/main" chartId="{4248355e-d9ec-4c0b-8038-19f021f58259}"/>
      </c:ext>
    </c:extLst>
  </c:chart>
  <c:spPr>
    <a:solidFill>
      <a:srgbClr val="00B050">
        <a:alpha val="10196"/>
      </a:srgbClr>
    </a:solidFill>
    <a:ln w="9525" cap="flat" cmpd="sng" algn="ctr">
      <a:noFill/>
      <a:round/>
    </a:ln>
    <a:effectLst>
      <a:outerShdw blurRad="50800" dist="38100" dir="5400000" algn="t" rotWithShape="0">
        <a:prstClr val="black">
          <a:alpha val="40000"/>
        </a:prstClr>
      </a:outerShdw>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[iphone_sales_dataset.xlsx]PIVOT TABLE!PivotTable12</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No</a:t>
            </a:r>
            <a:r>
              <a:rPr lang="en-US" sz="1600" b="1" baseline="0">
                <a:latin typeface="Times New Roman" panose="02020603050405020304" pitchFamily="18" charset="0"/>
                <a:cs typeface="Times New Roman" panose="02020603050405020304" pitchFamily="18" charset="0"/>
              </a:rPr>
              <a:t> of iphone </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TABLE'!$O$28</c:f>
              <c:strCache>
                <c:ptCount val="1"/>
                <c:pt idx="0">
                  <c:v>Total</c:v>
                </c:pt>
              </c:strCache>
            </c:strRef>
          </c:tx>
          <c:spPr>
            <a:solidFill>
              <a:srgbClr val="00B050"/>
            </a:solidFill>
            <a:ln>
              <a:noFill/>
            </a:ln>
            <a:effectLst/>
          </c:spPr>
          <c:invertIfNegative val="0"/>
          <c:cat>
            <c:strRef>
              <c:f>'PIVOT TABLE'!$N$29:$N$34</c:f>
              <c:strCache>
                <c:ptCount val="5"/>
                <c:pt idx="0">
                  <c:v>Blue</c:v>
                </c:pt>
                <c:pt idx="1">
                  <c:v>White</c:v>
                </c:pt>
                <c:pt idx="2">
                  <c:v>Red</c:v>
                </c:pt>
                <c:pt idx="3">
                  <c:v>Purple</c:v>
                </c:pt>
                <c:pt idx="4">
                  <c:v>Black</c:v>
                </c:pt>
              </c:strCache>
            </c:strRef>
          </c:cat>
          <c:val>
            <c:numRef>
              <c:f>'PIVOT TABLE'!$O$29:$O$34</c:f>
              <c:numCache>
                <c:formatCode>General</c:formatCode>
                <c:ptCount val="5"/>
                <c:pt idx="0">
                  <c:v>25</c:v>
                </c:pt>
                <c:pt idx="1">
                  <c:v>22</c:v>
                </c:pt>
                <c:pt idx="2">
                  <c:v>19</c:v>
                </c:pt>
                <c:pt idx="3">
                  <c:v>19</c:v>
                </c:pt>
                <c:pt idx="4">
                  <c:v>15</c:v>
                </c:pt>
              </c:numCache>
            </c:numRef>
          </c:val>
          <c:extLst>
            <c:ext xmlns:c16="http://schemas.microsoft.com/office/drawing/2014/chart" uri="{C3380CC4-5D6E-409C-BE32-E72D297353CC}">
              <c16:uniqueId val="{00000000-B5C1-47CC-8B66-D64461CE3C22}"/>
            </c:ext>
          </c:extLst>
        </c:ser>
        <c:dLbls>
          <c:showLegendKey val="0"/>
          <c:showVal val="0"/>
          <c:showCatName val="0"/>
          <c:showSerName val="0"/>
          <c:showPercent val="0"/>
          <c:showBubbleSize val="0"/>
        </c:dLbls>
        <c:gapWidth val="219"/>
        <c:overlap val="-27"/>
        <c:axId val="150798335"/>
        <c:axId val="150818015"/>
      </c:barChart>
      <c:catAx>
        <c:axId val="1507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50818015"/>
        <c:crosses val="autoZero"/>
        <c:auto val="1"/>
        <c:lblAlgn val="ctr"/>
        <c:lblOffset val="100"/>
        <c:noMultiLvlLbl val="0"/>
      </c:catAx>
      <c:valAx>
        <c:axId val="15081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G"/>
          </a:p>
        </c:txPr>
        <c:crossAx val="15079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alpha val="10196"/>
      </a:srgbClr>
    </a:solidFill>
    <a:ln w="9525" cap="flat" cmpd="sng" algn="ctr">
      <a:no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3.png"/><Relationship Id="rId3" Type="http://schemas.openxmlformats.org/officeDocument/2006/relationships/hyperlink" Target="#iphone_sales_dataset!A1"/><Relationship Id="rId7" Type="http://schemas.openxmlformats.org/officeDocument/2006/relationships/chart" Target="../charts/chart10.xml"/><Relationship Id="rId12" Type="http://schemas.microsoft.com/office/2007/relationships/hdphoto" Target="../media/hdphoto1.wdp"/><Relationship Id="rId2" Type="http://schemas.openxmlformats.org/officeDocument/2006/relationships/hyperlink" Target="#'PIVOT TABLE'!A1"/><Relationship Id="rId1" Type="http://schemas.openxmlformats.org/officeDocument/2006/relationships/hyperlink" Target="#'ANALYSIS SHEET'!A1"/><Relationship Id="rId6" Type="http://schemas.openxmlformats.org/officeDocument/2006/relationships/chart" Target="../charts/chart9.xml"/><Relationship Id="rId11" Type="http://schemas.openxmlformats.org/officeDocument/2006/relationships/image" Target="../media/image2.png"/><Relationship Id="rId5" Type="http://schemas.openxmlformats.org/officeDocument/2006/relationships/chart" Target="../charts/chart8.xml"/><Relationship Id="rId10" Type="http://schemas.openxmlformats.org/officeDocument/2006/relationships/image" Target="../media/image1.png"/><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28575</xdr:rowOff>
    </xdr:from>
    <xdr:to>
      <xdr:col>6</xdr:col>
      <xdr:colOff>123825</xdr:colOff>
      <xdr:row>16</xdr:row>
      <xdr:rowOff>76200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0</xdr:row>
      <xdr:rowOff>28575</xdr:rowOff>
    </xdr:from>
    <xdr:to>
      <xdr:col>18</xdr:col>
      <xdr:colOff>647700</xdr:colOff>
      <xdr:row>16</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16</xdr:row>
      <xdr:rowOff>76199</xdr:rowOff>
    </xdr:from>
    <xdr:to>
      <xdr:col>12</xdr:col>
      <xdr:colOff>371475</xdr:colOff>
      <xdr:row>31</xdr:row>
      <xdr:rowOff>85724</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47626</xdr:colOff>
      <xdr:row>16</xdr:row>
      <xdr:rowOff>123824</xdr:rowOff>
    </xdr:from>
    <xdr:to>
      <xdr:col>6</xdr:col>
      <xdr:colOff>123826</xdr:colOff>
      <xdr:row>31</xdr:row>
      <xdr:rowOff>142875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152401</xdr:colOff>
      <xdr:row>0</xdr:row>
      <xdr:rowOff>38100</xdr:rowOff>
    </xdr:from>
    <xdr:to>
      <xdr:col>12</xdr:col>
      <xdr:colOff>323850</xdr:colOff>
      <xdr:row>16</xdr:row>
      <xdr:rowOff>66675</xdr:rowOff>
    </xdr:to>
    <xdr:graphicFrame macro="">
      <xdr:nvGraphicFramePr>
        <xdr:cNvPr id="7" name="Chart 6">
          <a:extLst>
            <a:ext uri="{FF2B5EF4-FFF2-40B4-BE49-F238E27FC236}">
              <a16:creationId xmlns:a16="http://schemas.microsoft.com/office/drawing/2014/main" id="{54210AD8-3118-4FFF-BC97-A87D34988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352424</xdr:colOff>
      <xdr:row>16</xdr:row>
      <xdr:rowOff>47625</xdr:rowOff>
    </xdr:from>
    <xdr:to>
      <xdr:col>19</xdr:col>
      <xdr:colOff>57149</xdr:colOff>
      <xdr:row>31</xdr:row>
      <xdr:rowOff>123825</xdr:rowOff>
    </xdr:to>
    <xdr:graphicFrame macro="">
      <xdr:nvGraphicFramePr>
        <xdr:cNvPr id="5" name="Chart 4">
          <a:extLst>
            <a:ext uri="{FF2B5EF4-FFF2-40B4-BE49-F238E27FC236}">
              <a16:creationId xmlns:a16="http://schemas.microsoft.com/office/drawing/2014/main" id="{9353051B-3990-41BF-B0CA-7FFB8C62D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406400</xdr:colOff>
      <xdr:row>47</xdr:row>
      <xdr:rowOff>1</xdr:rowOff>
    </xdr:to>
    <xdr:sp macro="" textlink="">
      <xdr:nvSpPr>
        <xdr:cNvPr id="3" name="Rectangle: Rounded Corners 2">
          <a:extLst>
            <a:ext uri="{FF2B5EF4-FFF2-40B4-BE49-F238E27FC236}">
              <a16:creationId xmlns:a16="http://schemas.microsoft.com/office/drawing/2014/main" id="{FDF71A70-91E2-6F4C-8E4E-4158356A6BD5}"/>
            </a:ext>
          </a:extLst>
        </xdr:cNvPr>
        <xdr:cNvSpPr/>
      </xdr:nvSpPr>
      <xdr:spPr>
        <a:xfrm>
          <a:off x="0" y="0"/>
          <a:ext cx="14077576" cy="7900148"/>
        </a:xfrm>
        <a:prstGeom prst="roundRect">
          <a:avLst>
            <a:gd name="adj" fmla="val 2188"/>
          </a:avLst>
        </a:prstGeom>
        <a:solidFill>
          <a:srgbClr val="00B050">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22411</xdr:rowOff>
    </xdr:from>
    <xdr:to>
      <xdr:col>20</xdr:col>
      <xdr:colOff>381002</xdr:colOff>
      <xdr:row>3</xdr:row>
      <xdr:rowOff>156882</xdr:rowOff>
    </xdr:to>
    <xdr:sp macro="" textlink="">
      <xdr:nvSpPr>
        <xdr:cNvPr id="4" name="Rectangle: Rounded Corners 3">
          <a:extLst>
            <a:ext uri="{FF2B5EF4-FFF2-40B4-BE49-F238E27FC236}">
              <a16:creationId xmlns:a16="http://schemas.microsoft.com/office/drawing/2014/main" id="{D4124BE8-5E1D-D347-72AB-91FCB1031384}"/>
            </a:ext>
          </a:extLst>
        </xdr:cNvPr>
        <xdr:cNvSpPr/>
      </xdr:nvSpPr>
      <xdr:spPr>
        <a:xfrm>
          <a:off x="0" y="22411"/>
          <a:ext cx="14192252" cy="634534"/>
        </a:xfrm>
        <a:prstGeom prst="roundRect">
          <a:avLst>
            <a:gd name="adj" fmla="val 0"/>
          </a:avLst>
        </a:prstGeom>
        <a:solidFill>
          <a:srgbClr val="33CC33">
            <a:alpha val="69804"/>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latin typeface="Times New Roman" panose="02020603050405020304" pitchFamily="18" charset="0"/>
              <a:cs typeface="Times New Roman" panose="02020603050405020304" pitchFamily="18" charset="0"/>
            </a:rPr>
            <a:t>IPHONE</a:t>
          </a:r>
          <a:r>
            <a:rPr lang="en-US" sz="2800" b="1" baseline="0">
              <a:solidFill>
                <a:schemeClr val="bg1"/>
              </a:solidFill>
              <a:latin typeface="Times New Roman" panose="02020603050405020304" pitchFamily="18" charset="0"/>
              <a:cs typeface="Times New Roman" panose="02020603050405020304" pitchFamily="18" charset="0"/>
            </a:rPr>
            <a:t>S SALES ANALYSIS DASHBOARD - 2025</a:t>
          </a:r>
          <a:endParaRPr lang="en-NG"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25400</xdr:colOff>
      <xdr:row>3</xdr:row>
      <xdr:rowOff>165100</xdr:rowOff>
    </xdr:from>
    <xdr:to>
      <xdr:col>3</xdr:col>
      <xdr:colOff>88900</xdr:colOff>
      <xdr:row>46</xdr:row>
      <xdr:rowOff>25400</xdr:rowOff>
    </xdr:to>
    <xdr:sp macro="" textlink="">
      <xdr:nvSpPr>
        <xdr:cNvPr id="5" name="Rectangle: Rounded Corners 4">
          <a:extLst>
            <a:ext uri="{FF2B5EF4-FFF2-40B4-BE49-F238E27FC236}">
              <a16:creationId xmlns:a16="http://schemas.microsoft.com/office/drawing/2014/main" id="{4ABAA218-8030-7362-4C6A-380F8C067A2A}"/>
            </a:ext>
          </a:extLst>
        </xdr:cNvPr>
        <xdr:cNvSpPr/>
      </xdr:nvSpPr>
      <xdr:spPr>
        <a:xfrm>
          <a:off x="25400" y="698500"/>
          <a:ext cx="2120900" cy="7505700"/>
        </a:xfrm>
        <a:prstGeom prst="roundRect">
          <a:avLst>
            <a:gd name="adj" fmla="val 6783"/>
          </a:avLst>
        </a:prstGeom>
        <a:solidFill>
          <a:srgbClr val="00B050">
            <a:alpha val="3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279400</xdr:colOff>
      <xdr:row>6</xdr:row>
      <xdr:rowOff>101600</xdr:rowOff>
    </xdr:from>
    <xdr:to>
      <xdr:col>2</xdr:col>
      <xdr:colOff>533400</xdr:colOff>
      <xdr:row>8</xdr:row>
      <xdr:rowOff>88900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D2DF0CB-01C5-97C7-923C-19BC838D0AE1}"/>
            </a:ext>
          </a:extLst>
        </xdr:cNvPr>
        <xdr:cNvSpPr/>
      </xdr:nvSpPr>
      <xdr:spPr>
        <a:xfrm>
          <a:off x="279400" y="1168400"/>
          <a:ext cx="1625600" cy="3429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Analysis</a:t>
          </a:r>
          <a:endParaRPr lang="en-NG" sz="1600" b="1">
            <a:latin typeface="Times New Roman" panose="02020603050405020304" pitchFamily="18" charset="0"/>
            <a:cs typeface="Times New Roman" panose="02020603050405020304" pitchFamily="18" charset="0"/>
          </a:endParaRPr>
        </a:p>
      </xdr:txBody>
    </xdr:sp>
    <xdr:clientData/>
  </xdr:twoCellAnchor>
  <xdr:twoCellAnchor>
    <xdr:from>
      <xdr:col>0</xdr:col>
      <xdr:colOff>266700</xdr:colOff>
      <xdr:row>9</xdr:row>
      <xdr:rowOff>139700</xdr:rowOff>
    </xdr:from>
    <xdr:to>
      <xdr:col>2</xdr:col>
      <xdr:colOff>520700</xdr:colOff>
      <xdr:row>11</xdr:row>
      <xdr:rowOff>127000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0359FD44-C798-CAFA-E69B-064A6B5AF115}"/>
            </a:ext>
          </a:extLst>
        </xdr:cNvPr>
        <xdr:cNvSpPr/>
      </xdr:nvSpPr>
      <xdr:spPr>
        <a:xfrm>
          <a:off x="266700" y="1739900"/>
          <a:ext cx="1625600" cy="3429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Sales</a:t>
          </a:r>
          <a:endParaRPr lang="en-NG" sz="1600" b="1">
            <a:latin typeface="Times New Roman" panose="02020603050405020304" pitchFamily="18" charset="0"/>
            <a:cs typeface="Times New Roman" panose="02020603050405020304" pitchFamily="18" charset="0"/>
          </a:endParaRPr>
        </a:p>
      </xdr:txBody>
    </xdr:sp>
    <xdr:clientData/>
  </xdr:twoCellAnchor>
  <xdr:twoCellAnchor>
    <xdr:from>
      <xdr:col>0</xdr:col>
      <xdr:colOff>279400</xdr:colOff>
      <xdr:row>12</xdr:row>
      <xdr:rowOff>165100</xdr:rowOff>
    </xdr:from>
    <xdr:to>
      <xdr:col>2</xdr:col>
      <xdr:colOff>533400</xdr:colOff>
      <xdr:row>14</xdr:row>
      <xdr:rowOff>152400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7764E32-FDF7-2366-8C2C-148D96324CBE}"/>
            </a:ext>
          </a:extLst>
        </xdr:cNvPr>
        <xdr:cNvSpPr/>
      </xdr:nvSpPr>
      <xdr:spPr>
        <a:xfrm>
          <a:off x="279400" y="2298700"/>
          <a:ext cx="1625600" cy="3429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Datasets</a:t>
          </a:r>
          <a:endParaRPr lang="en-NG" sz="1600" b="1">
            <a:latin typeface="Times New Roman" panose="02020603050405020304" pitchFamily="18" charset="0"/>
            <a:cs typeface="Times New Roman" panose="02020603050405020304" pitchFamily="18" charset="0"/>
          </a:endParaRPr>
        </a:p>
      </xdr:txBody>
    </xdr:sp>
    <xdr:clientData/>
  </xdr:twoCellAnchor>
  <xdr:twoCellAnchor>
    <xdr:from>
      <xdr:col>3</xdr:col>
      <xdr:colOff>88900</xdr:colOff>
      <xdr:row>4</xdr:row>
      <xdr:rowOff>25400</xdr:rowOff>
    </xdr:from>
    <xdr:to>
      <xdr:col>6</xdr:col>
      <xdr:colOff>355600</xdr:colOff>
      <xdr:row>9</xdr:row>
      <xdr:rowOff>165100</xdr:rowOff>
    </xdr:to>
    <xdr:sp macro="" textlink="">
      <xdr:nvSpPr>
        <xdr:cNvPr id="10" name="Rectangle: Rounded Corners 9">
          <a:extLst>
            <a:ext uri="{FF2B5EF4-FFF2-40B4-BE49-F238E27FC236}">
              <a16:creationId xmlns:a16="http://schemas.microsoft.com/office/drawing/2014/main" id="{FBBDAFCC-6DC8-1DEF-357D-40BE039B2ABC}"/>
            </a:ext>
          </a:extLst>
        </xdr:cNvPr>
        <xdr:cNvSpPr/>
      </xdr:nvSpPr>
      <xdr:spPr>
        <a:xfrm>
          <a:off x="2146300" y="736600"/>
          <a:ext cx="2324100" cy="1028700"/>
        </a:xfrm>
        <a:prstGeom prst="roundRect">
          <a:avLst>
            <a:gd name="adj" fmla="val 4619"/>
          </a:avLst>
        </a:prstGeom>
        <a:solidFill>
          <a:srgbClr val="33CC33">
            <a:alpha val="3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50000"/>
                </a:schemeClr>
              </a:solidFill>
              <a:latin typeface="Times New Roman" panose="02020603050405020304" pitchFamily="18" charset="0"/>
              <a:cs typeface="Times New Roman" panose="02020603050405020304" pitchFamily="18" charset="0"/>
            </a:rPr>
            <a:t>Total</a:t>
          </a:r>
          <a:r>
            <a:rPr lang="en-US" sz="1600" b="1" baseline="0">
              <a:solidFill>
                <a:schemeClr val="accent6">
                  <a:lumMod val="50000"/>
                </a:schemeClr>
              </a:solidFill>
              <a:latin typeface="Times New Roman" panose="02020603050405020304" pitchFamily="18" charset="0"/>
              <a:cs typeface="Times New Roman" panose="02020603050405020304" pitchFamily="18" charset="0"/>
            </a:rPr>
            <a:t> Revenue</a:t>
          </a:r>
          <a:endParaRPr lang="en-NG" sz="16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114300</xdr:colOff>
      <xdr:row>10</xdr:row>
      <xdr:rowOff>25400</xdr:rowOff>
    </xdr:from>
    <xdr:to>
      <xdr:col>8</xdr:col>
      <xdr:colOff>596900</xdr:colOff>
      <xdr:row>27</xdr:row>
      <xdr:rowOff>165100</xdr:rowOff>
    </xdr:to>
    <xdr:sp macro="" textlink="">
      <xdr:nvSpPr>
        <xdr:cNvPr id="14" name="Rectangle: Rounded Corners 13">
          <a:extLst>
            <a:ext uri="{FF2B5EF4-FFF2-40B4-BE49-F238E27FC236}">
              <a16:creationId xmlns:a16="http://schemas.microsoft.com/office/drawing/2014/main" id="{2D6A3881-FA9B-7142-E9DC-4EDB89ECB62E}"/>
            </a:ext>
          </a:extLst>
        </xdr:cNvPr>
        <xdr:cNvSpPr/>
      </xdr:nvSpPr>
      <xdr:spPr>
        <a:xfrm>
          <a:off x="2171700" y="18034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152400</xdr:colOff>
      <xdr:row>28</xdr:row>
      <xdr:rowOff>0</xdr:rowOff>
    </xdr:from>
    <xdr:to>
      <xdr:col>8</xdr:col>
      <xdr:colOff>635000</xdr:colOff>
      <xdr:row>45</xdr:row>
      <xdr:rowOff>139700</xdr:rowOff>
    </xdr:to>
    <xdr:sp macro="" textlink="">
      <xdr:nvSpPr>
        <xdr:cNvPr id="16" name="Rectangle: Rounded Corners 15">
          <a:extLst>
            <a:ext uri="{FF2B5EF4-FFF2-40B4-BE49-F238E27FC236}">
              <a16:creationId xmlns:a16="http://schemas.microsoft.com/office/drawing/2014/main" id="{917BC278-0D77-B2D8-5E60-67814DDA527B}"/>
            </a:ext>
          </a:extLst>
        </xdr:cNvPr>
        <xdr:cNvSpPr/>
      </xdr:nvSpPr>
      <xdr:spPr>
        <a:xfrm>
          <a:off x="2209800" y="49784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647700</xdr:colOff>
      <xdr:row>27</xdr:row>
      <xdr:rowOff>165100</xdr:rowOff>
    </xdr:from>
    <xdr:to>
      <xdr:col>14</xdr:col>
      <xdr:colOff>444500</xdr:colOff>
      <xdr:row>45</xdr:row>
      <xdr:rowOff>127000</xdr:rowOff>
    </xdr:to>
    <xdr:sp macro="" textlink="">
      <xdr:nvSpPr>
        <xdr:cNvPr id="17" name="Rectangle: Rounded Corners 16">
          <a:extLst>
            <a:ext uri="{FF2B5EF4-FFF2-40B4-BE49-F238E27FC236}">
              <a16:creationId xmlns:a16="http://schemas.microsoft.com/office/drawing/2014/main" id="{E6DCB8F9-4CFD-93D4-09D6-0DB5C8388E6E}"/>
            </a:ext>
          </a:extLst>
        </xdr:cNvPr>
        <xdr:cNvSpPr/>
      </xdr:nvSpPr>
      <xdr:spPr>
        <a:xfrm>
          <a:off x="6134100" y="49657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469900</xdr:colOff>
      <xdr:row>27</xdr:row>
      <xdr:rowOff>152400</xdr:rowOff>
    </xdr:from>
    <xdr:to>
      <xdr:col>20</xdr:col>
      <xdr:colOff>266700</xdr:colOff>
      <xdr:row>45</xdr:row>
      <xdr:rowOff>114300</xdr:rowOff>
    </xdr:to>
    <xdr:sp macro="" textlink="">
      <xdr:nvSpPr>
        <xdr:cNvPr id="18" name="Rectangle: Rounded Corners 17">
          <a:extLst>
            <a:ext uri="{FF2B5EF4-FFF2-40B4-BE49-F238E27FC236}">
              <a16:creationId xmlns:a16="http://schemas.microsoft.com/office/drawing/2014/main" id="{CC0C90D3-715F-196F-F647-7813482C1AFA}"/>
            </a:ext>
          </a:extLst>
        </xdr:cNvPr>
        <xdr:cNvSpPr/>
      </xdr:nvSpPr>
      <xdr:spPr>
        <a:xfrm>
          <a:off x="10071100" y="49530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635000</xdr:colOff>
      <xdr:row>10</xdr:row>
      <xdr:rowOff>12700</xdr:rowOff>
    </xdr:from>
    <xdr:to>
      <xdr:col>14</xdr:col>
      <xdr:colOff>431800</xdr:colOff>
      <xdr:row>27</xdr:row>
      <xdr:rowOff>152400</xdr:rowOff>
    </xdr:to>
    <xdr:sp macro="" textlink="">
      <xdr:nvSpPr>
        <xdr:cNvPr id="19" name="Rectangle: Rounded Corners 18">
          <a:extLst>
            <a:ext uri="{FF2B5EF4-FFF2-40B4-BE49-F238E27FC236}">
              <a16:creationId xmlns:a16="http://schemas.microsoft.com/office/drawing/2014/main" id="{BDC38569-CDE3-1CF1-6F61-4BAFFE83DB07}"/>
            </a:ext>
          </a:extLst>
        </xdr:cNvPr>
        <xdr:cNvSpPr/>
      </xdr:nvSpPr>
      <xdr:spPr>
        <a:xfrm>
          <a:off x="6121400" y="17907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457200</xdr:colOff>
      <xdr:row>10</xdr:row>
      <xdr:rowOff>0</xdr:rowOff>
    </xdr:from>
    <xdr:to>
      <xdr:col>20</xdr:col>
      <xdr:colOff>254000</xdr:colOff>
      <xdr:row>27</xdr:row>
      <xdr:rowOff>139700</xdr:rowOff>
    </xdr:to>
    <xdr:sp macro="" textlink="">
      <xdr:nvSpPr>
        <xdr:cNvPr id="20" name="Rectangle: Rounded Corners 19">
          <a:extLst>
            <a:ext uri="{FF2B5EF4-FFF2-40B4-BE49-F238E27FC236}">
              <a16:creationId xmlns:a16="http://schemas.microsoft.com/office/drawing/2014/main" id="{61EBAD28-B328-A9EA-85E5-3CF119D9678A}"/>
            </a:ext>
          </a:extLst>
        </xdr:cNvPr>
        <xdr:cNvSpPr/>
      </xdr:nvSpPr>
      <xdr:spPr>
        <a:xfrm>
          <a:off x="10058400" y="1778000"/>
          <a:ext cx="3911600" cy="3162300"/>
        </a:xfrm>
        <a:prstGeom prst="roundRect">
          <a:avLst>
            <a:gd name="adj" fmla="val 3496"/>
          </a:avLst>
        </a:prstGeom>
        <a:solidFill>
          <a:srgbClr val="33CC33">
            <a:alpha val="20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368300</xdr:colOff>
      <xdr:row>4</xdr:row>
      <xdr:rowOff>25400</xdr:rowOff>
    </xdr:from>
    <xdr:to>
      <xdr:col>9</xdr:col>
      <xdr:colOff>635000</xdr:colOff>
      <xdr:row>9</xdr:row>
      <xdr:rowOff>165100</xdr:rowOff>
    </xdr:to>
    <xdr:sp macro="" textlink="">
      <xdr:nvSpPr>
        <xdr:cNvPr id="21" name="Rectangle: Rounded Corners 20">
          <a:extLst>
            <a:ext uri="{FF2B5EF4-FFF2-40B4-BE49-F238E27FC236}">
              <a16:creationId xmlns:a16="http://schemas.microsoft.com/office/drawing/2014/main" id="{F1174A9A-BA26-DABF-A288-A3C77B6EE499}"/>
            </a:ext>
          </a:extLst>
        </xdr:cNvPr>
        <xdr:cNvSpPr/>
      </xdr:nvSpPr>
      <xdr:spPr>
        <a:xfrm>
          <a:off x="4483100" y="736600"/>
          <a:ext cx="2324100" cy="1028700"/>
        </a:xfrm>
        <a:prstGeom prst="roundRect">
          <a:avLst>
            <a:gd name="adj" fmla="val 4619"/>
          </a:avLst>
        </a:prstGeom>
        <a:solidFill>
          <a:srgbClr val="33CC33">
            <a:alpha val="3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3"/>
              </a:solidFill>
              <a:latin typeface="Times New Roman" panose="02020603050405020304" pitchFamily="18" charset="0"/>
              <a:cs typeface="Times New Roman" panose="02020603050405020304" pitchFamily="18" charset="0"/>
            </a:rPr>
            <a:t>Total no</a:t>
          </a:r>
          <a:r>
            <a:rPr lang="en-US" sz="1600" b="1" baseline="0">
              <a:solidFill>
                <a:schemeClr val="accent3"/>
              </a:solidFill>
              <a:latin typeface="Times New Roman" panose="02020603050405020304" pitchFamily="18" charset="0"/>
              <a:cs typeface="Times New Roman" panose="02020603050405020304" pitchFamily="18" charset="0"/>
            </a:rPr>
            <a:t> of iPhone</a:t>
          </a:r>
          <a:endParaRPr lang="en-NG" sz="1600" b="1">
            <a:solidFill>
              <a:schemeClr val="accent3"/>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647700</xdr:colOff>
      <xdr:row>4</xdr:row>
      <xdr:rowOff>25400</xdr:rowOff>
    </xdr:from>
    <xdr:to>
      <xdr:col>13</xdr:col>
      <xdr:colOff>228600</xdr:colOff>
      <xdr:row>9</xdr:row>
      <xdr:rowOff>165100</xdr:rowOff>
    </xdr:to>
    <xdr:sp macro="" textlink="">
      <xdr:nvSpPr>
        <xdr:cNvPr id="22" name="Rectangle: Rounded Corners 21">
          <a:extLst>
            <a:ext uri="{FF2B5EF4-FFF2-40B4-BE49-F238E27FC236}">
              <a16:creationId xmlns:a16="http://schemas.microsoft.com/office/drawing/2014/main" id="{9CA7CEAE-5BC1-EE4E-BAB8-50C83B55044A}"/>
            </a:ext>
          </a:extLst>
        </xdr:cNvPr>
        <xdr:cNvSpPr/>
      </xdr:nvSpPr>
      <xdr:spPr>
        <a:xfrm>
          <a:off x="6819900" y="736600"/>
          <a:ext cx="2324100" cy="1028700"/>
        </a:xfrm>
        <a:prstGeom prst="roundRect">
          <a:avLst>
            <a:gd name="adj" fmla="val 4619"/>
          </a:avLst>
        </a:prstGeom>
        <a:solidFill>
          <a:srgbClr val="33CC33">
            <a:alpha val="3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3"/>
              </a:solidFill>
              <a:latin typeface="Times New Roman" panose="02020603050405020304" pitchFamily="18" charset="0"/>
              <a:cs typeface="Times New Roman" panose="02020603050405020304" pitchFamily="18" charset="0"/>
            </a:rPr>
            <a:t>Average no products</a:t>
          </a:r>
          <a:endParaRPr lang="en-NG" sz="1600" b="1">
            <a:solidFill>
              <a:schemeClr val="accent3"/>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444500</xdr:colOff>
      <xdr:row>7</xdr:row>
      <xdr:rowOff>76200</xdr:rowOff>
    </xdr:from>
    <xdr:to>
      <xdr:col>5</xdr:col>
      <xdr:colOff>673100</xdr:colOff>
      <xdr:row>9</xdr:row>
      <xdr:rowOff>63500</xdr:rowOff>
    </xdr:to>
    <xdr:sp macro="" textlink="'PIVOT TABLE'!E11">
      <xdr:nvSpPr>
        <xdr:cNvPr id="25" name="Rectangle: Rounded Corners 24">
          <a:extLst>
            <a:ext uri="{FF2B5EF4-FFF2-40B4-BE49-F238E27FC236}">
              <a16:creationId xmlns:a16="http://schemas.microsoft.com/office/drawing/2014/main" id="{026E9B97-74CF-AE1B-9297-03384023A2A7}"/>
            </a:ext>
          </a:extLst>
        </xdr:cNvPr>
        <xdr:cNvSpPr/>
      </xdr:nvSpPr>
      <xdr:spPr>
        <a:xfrm>
          <a:off x="2501900" y="1320800"/>
          <a:ext cx="1600200" cy="342900"/>
        </a:xfrm>
        <a:prstGeom prst="roundRect">
          <a:avLst/>
        </a:prstGeom>
        <a:solidFill>
          <a:srgbClr val="00B050">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CBDC2D-39F9-4FC8-A7BA-8C7B2E3A6ABC}" type="TxLink">
            <a:rPr lang="en-US" sz="1400" b="1" i="0" u="none" strike="noStrike">
              <a:solidFill>
                <a:schemeClr val="tx1"/>
              </a:solidFill>
              <a:latin typeface="Times New Roman" panose="02020603050405020304" pitchFamily="18" charset="0"/>
              <a:cs typeface="Times New Roman" panose="02020603050405020304" pitchFamily="18" charset="0"/>
            </a:rPr>
            <a:pPr algn="ctr"/>
            <a:t>$146,875.00</a:t>
          </a:fld>
          <a:endParaRPr lang="en-NG"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76200</xdr:colOff>
      <xdr:row>7</xdr:row>
      <xdr:rowOff>127000</xdr:rowOff>
    </xdr:from>
    <xdr:to>
      <xdr:col>9</xdr:col>
      <xdr:colOff>279400</xdr:colOff>
      <xdr:row>9</xdr:row>
      <xdr:rowOff>63500</xdr:rowOff>
    </xdr:to>
    <xdr:sp macro="" textlink="'PIVOT TABLE'!B11">
      <xdr:nvSpPr>
        <xdr:cNvPr id="27" name="Rectangle: Rounded Corners 26">
          <a:extLst>
            <a:ext uri="{FF2B5EF4-FFF2-40B4-BE49-F238E27FC236}">
              <a16:creationId xmlns:a16="http://schemas.microsoft.com/office/drawing/2014/main" id="{A16F7E54-CEBC-64F5-7D7F-DB15CF218D9D}"/>
            </a:ext>
          </a:extLst>
        </xdr:cNvPr>
        <xdr:cNvSpPr/>
      </xdr:nvSpPr>
      <xdr:spPr>
        <a:xfrm>
          <a:off x="4876800" y="1371600"/>
          <a:ext cx="1574800" cy="292100"/>
        </a:xfrm>
        <a:prstGeom prst="roundRect">
          <a:avLst/>
        </a:prstGeom>
        <a:solidFill>
          <a:srgbClr val="00B050">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3D4D5A-4BB8-4956-8D4E-59F956306B0B}" type="TxLink">
            <a:rPr lang="en-US" sz="1400" b="1" i="0" u="none" strike="noStrike">
              <a:solidFill>
                <a:schemeClr val="tx1"/>
              </a:solidFill>
              <a:latin typeface="Times New Roman" panose="02020603050405020304" pitchFamily="18" charset="0"/>
              <a:cs typeface="Times New Roman" panose="02020603050405020304" pitchFamily="18" charset="0"/>
            </a:rPr>
            <a:pPr algn="ctr"/>
            <a:t>333</a:t>
          </a:fld>
          <a:endParaRPr lang="en-NG"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355600</xdr:colOff>
      <xdr:row>7</xdr:row>
      <xdr:rowOff>127000</xdr:rowOff>
    </xdr:from>
    <xdr:to>
      <xdr:col>12</xdr:col>
      <xdr:colOff>558800</xdr:colOff>
      <xdr:row>9</xdr:row>
      <xdr:rowOff>25400</xdr:rowOff>
    </xdr:to>
    <xdr:sp macro="" textlink="'PIVOT TABLE'!R35">
      <xdr:nvSpPr>
        <xdr:cNvPr id="28" name="Rectangle: Rounded Corners 27">
          <a:extLst>
            <a:ext uri="{FF2B5EF4-FFF2-40B4-BE49-F238E27FC236}">
              <a16:creationId xmlns:a16="http://schemas.microsoft.com/office/drawing/2014/main" id="{644B0583-1702-1B6E-6227-A21FB901E6CB}"/>
            </a:ext>
          </a:extLst>
        </xdr:cNvPr>
        <xdr:cNvSpPr/>
      </xdr:nvSpPr>
      <xdr:spPr>
        <a:xfrm>
          <a:off x="7213600" y="1371600"/>
          <a:ext cx="1574800" cy="254000"/>
        </a:xfrm>
        <a:prstGeom prst="roundRect">
          <a:avLst/>
        </a:prstGeom>
        <a:solidFill>
          <a:srgbClr val="00B050">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4AC8E9-C27F-4332-949F-9851E6E602E1}"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3.33</a:t>
          </a:fld>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146377</xdr:colOff>
      <xdr:row>10</xdr:row>
      <xdr:rowOff>46225</xdr:rowOff>
    </xdr:from>
    <xdr:to>
      <xdr:col>8</xdr:col>
      <xdr:colOff>573694</xdr:colOff>
      <xdr:row>27</xdr:row>
      <xdr:rowOff>125413</xdr:rowOff>
    </xdr:to>
    <xdr:graphicFrame macro="">
      <xdr:nvGraphicFramePr>
        <xdr:cNvPr id="30" name="Chart 29">
          <a:extLst>
            <a:ext uri="{FF2B5EF4-FFF2-40B4-BE49-F238E27FC236}">
              <a16:creationId xmlns:a16="http://schemas.microsoft.com/office/drawing/2014/main" id="{803206F2-7D3D-4D12-B01C-2677BF617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628931</xdr:colOff>
      <xdr:row>10</xdr:row>
      <xdr:rowOff>56030</xdr:rowOff>
    </xdr:from>
    <xdr:to>
      <xdr:col>14</xdr:col>
      <xdr:colOff>404814</xdr:colOff>
      <xdr:row>27</xdr:row>
      <xdr:rowOff>101600</xdr:rowOff>
    </xdr:to>
    <xdr:graphicFrame macro="">
      <xdr:nvGraphicFramePr>
        <xdr:cNvPr id="31" name="Chart 30">
          <a:extLst>
            <a:ext uri="{FF2B5EF4-FFF2-40B4-BE49-F238E27FC236}">
              <a16:creationId xmlns:a16="http://schemas.microsoft.com/office/drawing/2014/main" id="{E94B35AB-DCB7-4B55-B0D4-AAD645686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511968</xdr:colOff>
      <xdr:row>10</xdr:row>
      <xdr:rowOff>38100</xdr:rowOff>
    </xdr:from>
    <xdr:to>
      <xdr:col>20</xdr:col>
      <xdr:colOff>333374</xdr:colOff>
      <xdr:row>27</xdr:row>
      <xdr:rowOff>76200</xdr:rowOff>
    </xdr:to>
    <xdr:graphicFrame macro="">
      <xdr:nvGraphicFramePr>
        <xdr:cNvPr id="32" name="Chart 31">
          <a:extLst>
            <a:ext uri="{FF2B5EF4-FFF2-40B4-BE49-F238E27FC236}">
              <a16:creationId xmlns:a16="http://schemas.microsoft.com/office/drawing/2014/main" id="{625DA11E-12FF-482A-AE1F-E20EDA6F5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203200</xdr:colOff>
      <xdr:row>28</xdr:row>
      <xdr:rowOff>50800</xdr:rowOff>
    </xdr:from>
    <xdr:to>
      <xdr:col>8</xdr:col>
      <xdr:colOff>622300</xdr:colOff>
      <xdr:row>45</xdr:row>
      <xdr:rowOff>63500</xdr:rowOff>
    </xdr:to>
    <xdr:graphicFrame macro="">
      <xdr:nvGraphicFramePr>
        <xdr:cNvPr id="33" name="Chart 32">
          <a:extLst>
            <a:ext uri="{FF2B5EF4-FFF2-40B4-BE49-F238E27FC236}">
              <a16:creationId xmlns:a16="http://schemas.microsoft.com/office/drawing/2014/main" id="{42A400E6-8366-4914-92E9-55F8E8DF5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12700</xdr:colOff>
      <xdr:row>28</xdr:row>
      <xdr:rowOff>12700</xdr:rowOff>
    </xdr:from>
    <xdr:to>
      <xdr:col>14</xdr:col>
      <xdr:colOff>368301</xdr:colOff>
      <xdr:row>45</xdr:row>
      <xdr:rowOff>38100</xdr:rowOff>
    </xdr:to>
    <xdr:graphicFrame macro="">
      <xdr:nvGraphicFramePr>
        <xdr:cNvPr id="34" name="Chart 33">
          <a:extLst>
            <a:ext uri="{FF2B5EF4-FFF2-40B4-BE49-F238E27FC236}">
              <a16:creationId xmlns:a16="http://schemas.microsoft.com/office/drawing/2014/main" id="{81B0E8C1-92FF-4C3E-AD09-3A6B4839E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533400</xdr:colOff>
      <xdr:row>28</xdr:row>
      <xdr:rowOff>12700</xdr:rowOff>
    </xdr:from>
    <xdr:to>
      <xdr:col>20</xdr:col>
      <xdr:colOff>241300</xdr:colOff>
      <xdr:row>45</xdr:row>
      <xdr:rowOff>76200</xdr:rowOff>
    </xdr:to>
    <xdr:graphicFrame macro="">
      <xdr:nvGraphicFramePr>
        <xdr:cNvPr id="35" name="Chart 34">
          <a:extLst>
            <a:ext uri="{FF2B5EF4-FFF2-40B4-BE49-F238E27FC236}">
              <a16:creationId xmlns:a16="http://schemas.microsoft.com/office/drawing/2014/main" id="{24556497-DDF2-4636-9A2B-6C4E587D6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288925</xdr:colOff>
      <xdr:row>4</xdr:row>
      <xdr:rowOff>15875</xdr:rowOff>
    </xdr:from>
    <xdr:to>
      <xdr:col>20</xdr:col>
      <xdr:colOff>393700</xdr:colOff>
      <xdr:row>9</xdr:row>
      <xdr:rowOff>114300</xdr:rowOff>
    </xdr:to>
    <mc:AlternateContent xmlns:mc="http://schemas.openxmlformats.org/markup-compatibility/2006" xmlns:a14="http://schemas.microsoft.com/office/drawing/2010/main">
      <mc:Choice Requires="a14">
        <xdr:graphicFrame macro="">
          <xdr:nvGraphicFramePr>
            <xdr:cNvPr id="36" name="Country">
              <a:extLst>
                <a:ext uri="{FF2B5EF4-FFF2-40B4-BE49-F238E27FC236}">
                  <a16:creationId xmlns:a16="http://schemas.microsoft.com/office/drawing/2014/main" id="{F0131830-CF7E-4A1B-A4A3-28990133A98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71425" y="693208"/>
              <a:ext cx="1480608" cy="94509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279400</xdr:colOff>
      <xdr:row>3</xdr:row>
      <xdr:rowOff>165100</xdr:rowOff>
    </xdr:from>
    <xdr:to>
      <xdr:col>15</xdr:col>
      <xdr:colOff>609600</xdr:colOff>
      <xdr:row>9</xdr:row>
      <xdr:rowOff>152400</xdr:rowOff>
    </xdr:to>
    <mc:AlternateContent xmlns:mc="http://schemas.openxmlformats.org/markup-compatibility/2006" xmlns:a14="http://schemas.microsoft.com/office/drawing/2010/main">
      <mc:Choice Requires="a14">
        <xdr:graphicFrame macro="">
          <xdr:nvGraphicFramePr>
            <xdr:cNvPr id="37" name="iPhone_Model">
              <a:extLst>
                <a:ext uri="{FF2B5EF4-FFF2-40B4-BE49-F238E27FC236}">
                  <a16:creationId xmlns:a16="http://schemas.microsoft.com/office/drawing/2014/main" id="{AA1A1687-A390-4836-87E7-665A9506588D}"/>
                </a:ext>
              </a:extLst>
            </xdr:cNvPr>
            <xdr:cNvGraphicFramePr/>
          </xdr:nvGraphicFramePr>
          <xdr:xfrm>
            <a:off x="0" y="0"/>
            <a:ext cx="0" cy="0"/>
          </xdr:xfrm>
          <a:graphic>
            <a:graphicData uri="http://schemas.microsoft.com/office/drawing/2010/slicer">
              <sle:slicer xmlns:sle="http://schemas.microsoft.com/office/drawing/2010/slicer" name="iPhone_Model"/>
            </a:graphicData>
          </a:graphic>
        </xdr:graphicFrame>
      </mc:Choice>
      <mc:Fallback xmlns="">
        <xdr:sp macro="" textlink="">
          <xdr:nvSpPr>
            <xdr:cNvPr id="0" name=""/>
            <xdr:cNvSpPr>
              <a:spLocks noTextEdit="1"/>
            </xdr:cNvSpPr>
          </xdr:nvSpPr>
          <xdr:spPr>
            <a:xfrm>
              <a:off x="9222317" y="673100"/>
              <a:ext cx="1706033" cy="1003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609600</xdr:colOff>
      <xdr:row>4</xdr:row>
      <xdr:rowOff>3175</xdr:rowOff>
    </xdr:from>
    <xdr:to>
      <xdr:col>18</xdr:col>
      <xdr:colOff>215900</xdr:colOff>
      <xdr:row>9</xdr:row>
      <xdr:rowOff>127000</xdr:rowOff>
    </xdr:to>
    <mc:AlternateContent xmlns:mc="http://schemas.openxmlformats.org/markup-compatibility/2006" xmlns:a14="http://schemas.microsoft.com/office/drawing/2010/main">
      <mc:Choice Requires="a14">
        <xdr:graphicFrame macro="">
          <xdr:nvGraphicFramePr>
            <xdr:cNvPr id="38" name="Color">
              <a:extLst>
                <a:ext uri="{FF2B5EF4-FFF2-40B4-BE49-F238E27FC236}">
                  <a16:creationId xmlns:a16="http://schemas.microsoft.com/office/drawing/2014/main" id="{9745E8AA-D88F-4E42-814D-163C6AB175F4}"/>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0928350" y="680508"/>
              <a:ext cx="1670050" cy="97049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631031</xdr:colOff>
      <xdr:row>0</xdr:row>
      <xdr:rowOff>47625</xdr:rowOff>
    </xdr:from>
    <xdr:to>
      <xdr:col>3</xdr:col>
      <xdr:colOff>142875</xdr:colOff>
      <xdr:row>3</xdr:row>
      <xdr:rowOff>154781</xdr:rowOff>
    </xdr:to>
    <xdr:pic>
      <xdr:nvPicPr>
        <xdr:cNvPr id="6" name="Picture 5">
          <a:extLst>
            <a:ext uri="{FF2B5EF4-FFF2-40B4-BE49-F238E27FC236}">
              <a16:creationId xmlns:a16="http://schemas.microsoft.com/office/drawing/2014/main" id="{02C7B6DF-FC31-3EAF-2D79-80BAB4A91D7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21594" y="47625"/>
          <a:ext cx="892969" cy="607219"/>
        </a:xfrm>
        <a:prstGeom prst="rect">
          <a:avLst/>
        </a:prstGeom>
      </xdr:spPr>
    </xdr:pic>
    <xdr:clientData/>
  </xdr:twoCellAnchor>
  <xdr:twoCellAnchor editAs="oneCell">
    <xdr:from>
      <xdr:col>4</xdr:col>
      <xdr:colOff>416719</xdr:colOff>
      <xdr:row>2</xdr:row>
      <xdr:rowOff>119062</xdr:rowOff>
    </xdr:from>
    <xdr:to>
      <xdr:col>5</xdr:col>
      <xdr:colOff>273843</xdr:colOff>
      <xdr:row>4</xdr:row>
      <xdr:rowOff>107157</xdr:rowOff>
    </xdr:to>
    <xdr:pic>
      <xdr:nvPicPr>
        <xdr:cNvPr id="12" name="Picture 11">
          <a:extLst>
            <a:ext uri="{FF2B5EF4-FFF2-40B4-BE49-F238E27FC236}">
              <a16:creationId xmlns:a16="http://schemas.microsoft.com/office/drawing/2014/main" id="{E0778E0C-0219-A236-BCA3-1E4ED58728CF}"/>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3178969" y="452437"/>
          <a:ext cx="547687" cy="321470"/>
        </a:xfrm>
        <a:prstGeom prst="rect">
          <a:avLst/>
        </a:prstGeom>
        <a:noFill/>
      </xdr:spPr>
    </xdr:pic>
    <xdr:clientData/>
  </xdr:twoCellAnchor>
  <xdr:twoCellAnchor editAs="oneCell">
    <xdr:from>
      <xdr:col>7</xdr:col>
      <xdr:colOff>464343</xdr:colOff>
      <xdr:row>2</xdr:row>
      <xdr:rowOff>47625</xdr:rowOff>
    </xdr:from>
    <xdr:to>
      <xdr:col>8</xdr:col>
      <xdr:colOff>642937</xdr:colOff>
      <xdr:row>5</xdr:row>
      <xdr:rowOff>11906</xdr:rowOff>
    </xdr:to>
    <xdr:pic>
      <xdr:nvPicPr>
        <xdr:cNvPr id="15" name="Picture 14">
          <a:extLst>
            <a:ext uri="{FF2B5EF4-FFF2-40B4-BE49-F238E27FC236}">
              <a16:creationId xmlns:a16="http://schemas.microsoft.com/office/drawing/2014/main" id="{DB0D316F-1D32-BFEE-72F3-8F4844E587F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298281" y="381000"/>
          <a:ext cx="869156" cy="464344"/>
        </a:xfrm>
        <a:prstGeom prst="rect">
          <a:avLst/>
        </a:prstGeom>
      </xdr:spPr>
    </xdr:pic>
    <xdr:clientData/>
  </xdr:twoCellAnchor>
  <xdr:twoCellAnchor editAs="oneCell">
    <xdr:from>
      <xdr:col>11</xdr:col>
      <xdr:colOff>130968</xdr:colOff>
      <xdr:row>1</xdr:row>
      <xdr:rowOff>95249</xdr:rowOff>
    </xdr:from>
    <xdr:to>
      <xdr:col>12</xdr:col>
      <xdr:colOff>369094</xdr:colOff>
      <xdr:row>4</xdr:row>
      <xdr:rowOff>95249</xdr:rowOff>
    </xdr:to>
    <xdr:pic>
      <xdr:nvPicPr>
        <xdr:cNvPr id="24" name="Picture 23">
          <a:extLst>
            <a:ext uri="{FF2B5EF4-FFF2-40B4-BE49-F238E27FC236}">
              <a16:creationId xmlns:a16="http://schemas.microsoft.com/office/drawing/2014/main" id="{0C145F1F-18AC-9CA9-DE55-868838AB3EB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27156" y="261937"/>
          <a:ext cx="928688" cy="5000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alive" refreshedDate="46159.280773726852" createdVersion="8" refreshedVersion="8" minRefreshableVersion="3" recordCount="100" xr:uid="{00000000-000A-0000-FFFF-FFFF00000000}">
  <cacheSource type="worksheet">
    <worksheetSource name="PTABLE"/>
  </cacheSource>
  <cacheFields count="13">
    <cacheField name="Order_ID" numFmtId="0">
      <sharedItems containsSemiMixedTypes="0" containsString="0" containsNumber="1" containsInteger="1" minValue="1001" maxValue="1100"/>
    </cacheField>
    <cacheField name="Customer_Name" numFmtId="0">
      <sharedItems/>
    </cacheField>
    <cacheField name="Country" numFmtId="0">
      <sharedItems count="6">
        <s v="USA"/>
        <s v="Canada"/>
        <s v="UAE"/>
        <s v="Germany"/>
        <s v="UK"/>
        <s v="Pakistan"/>
      </sharedItems>
    </cacheField>
    <cacheField name="iPhone_Model" numFmtId="0">
      <sharedItems count="6">
        <s v="iPhone 13"/>
        <s v="iPhone 12"/>
        <s v="iPhone 15 Pro Max"/>
        <s v="iPhone 15"/>
        <s v="iPhone 14 Pro"/>
        <s v="iPhone 14"/>
      </sharedItems>
    </cacheField>
    <cacheField name="Storage" numFmtId="0">
      <sharedItems count="3">
        <s v="256GB"/>
        <s v="512GB"/>
        <s v="128GB"/>
      </sharedItems>
    </cacheField>
    <cacheField name="Color" numFmtId="0">
      <sharedItems count="5">
        <s v="Purple"/>
        <s v="Blue"/>
        <s v="Black"/>
        <s v="Red"/>
        <s v="White"/>
      </sharedItems>
    </cacheField>
    <cacheField name="Quantity" numFmtId="0">
      <sharedItems containsSemiMixedTypes="0" containsString="0" containsNumber="1" containsInteger="1" minValue="1" maxValue="5"/>
    </cacheField>
    <cacheField name="Price" numFmtId="164">
      <sharedItems containsSemiMixedTypes="0" containsString="0" containsNumber="1" containsInteger="1" minValue="718" maxValue="1992"/>
    </cacheField>
    <cacheField name="Sale_Date" numFmtId="14">
      <sharedItems containsSemiMixedTypes="0" containsNonDate="0" containsDate="1" containsString="0" minDate="2025-01-01T00:00:00" maxDate="2025-05-02T00:00:00" count="65">
        <d v="2025-05-01T00:00:00"/>
        <d v="2025-03-05T00:00:00"/>
        <d v="2025-01-25T00:00:00"/>
        <d v="2025-03-24T00:00:00"/>
        <d v="2025-02-01T00:00:00"/>
        <d v="2025-02-15T00:00:00"/>
        <d v="2025-02-13T00:00:00"/>
        <d v="2025-03-30T00:00:00"/>
        <d v="2025-03-06T00:00:00"/>
        <d v="2025-02-25T00:00:00"/>
        <d v="2025-01-28T00:00:00"/>
        <d v="2025-03-25T00:00:00"/>
        <d v="2025-02-18T00:00:00"/>
        <d v="2025-01-17T00:00:00"/>
        <d v="2025-01-27T00:00:00"/>
        <d v="2025-04-04T00:00:00"/>
        <d v="2025-04-28T00:00:00"/>
        <d v="2025-03-15T00:00:00"/>
        <d v="2025-03-27T00:00:00"/>
        <d v="2025-03-12T00:00:00"/>
        <d v="2025-03-22T00:00:00"/>
        <d v="2025-04-19T00:00:00"/>
        <d v="2025-01-01T00:00:00"/>
        <d v="2025-01-23T00:00:00"/>
        <d v="2025-01-19T00:00:00"/>
        <d v="2025-01-30T00:00:00"/>
        <d v="2025-03-26T00:00:00"/>
        <d v="2025-03-09T00:00:00"/>
        <d v="2025-02-05T00:00:00"/>
        <d v="2025-03-17T00:00:00"/>
        <d v="2025-01-02T00:00:00"/>
        <d v="2025-04-02T00:00:00"/>
        <d v="2025-04-09T00:00:00"/>
        <d v="2025-04-17T00:00:00"/>
        <d v="2025-01-20T00:00:00"/>
        <d v="2025-01-12T00:00:00"/>
        <d v="2025-04-18T00:00:00"/>
        <d v="2025-01-11T00:00:00"/>
        <d v="2025-03-28T00:00:00"/>
        <d v="2025-01-22T00:00:00"/>
        <d v="2025-02-27T00:00:00"/>
        <d v="2025-04-24T00:00:00"/>
        <d v="2025-04-10T00:00:00"/>
        <d v="2025-04-11T00:00:00"/>
        <d v="2025-04-13T00:00:00"/>
        <d v="2025-02-21T00:00:00"/>
        <d v="2025-04-05T00:00:00"/>
        <d v="2025-01-04T00:00:00"/>
        <d v="2025-04-22T00:00:00"/>
        <d v="2025-01-13T00:00:00"/>
        <d v="2025-01-10T00:00:00"/>
        <d v="2025-02-06T00:00:00"/>
        <d v="2025-04-25T00:00:00"/>
        <d v="2025-04-12T00:00:00"/>
        <d v="2025-01-15T00:00:00"/>
        <d v="2025-02-12T00:00:00"/>
        <d v="2025-02-24T00:00:00"/>
        <d v="2025-03-08T00:00:00"/>
        <d v="2025-04-08T00:00:00"/>
        <d v="2025-02-04T00:00:00"/>
        <d v="2025-02-17T00:00:00"/>
        <d v="2025-02-10T00:00:00"/>
        <d v="2025-01-06T00:00:00"/>
        <d v="2025-02-08T00:00:00"/>
        <d v="2025-01-08T00:00:00"/>
      </sharedItems>
      <fieldGroup par="12"/>
    </cacheField>
    <cacheField name="Payment_Method" numFmtId="0">
      <sharedItems count="4">
        <s v="Debit Card"/>
        <s v="PayPal"/>
        <s v="Credit Card"/>
        <s v="Cash"/>
      </sharedItems>
    </cacheField>
    <cacheField name="Month" numFmtId="0">
      <sharedItems/>
    </cacheField>
    <cacheField name="Days (Sale_Date)" numFmtId="0" databaseField="0">
      <fieldGroup base="8">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Sale_Date)" numFmtId="0" databaseField="0">
      <fieldGroup base="8">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987409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Customer_1"/>
    <x v="0"/>
    <x v="0"/>
    <x v="0"/>
    <x v="0"/>
    <n v="5"/>
    <n v="1817"/>
    <x v="0"/>
    <x v="0"/>
    <s v="May"/>
  </r>
  <r>
    <n v="1002"/>
    <s v="Customer_2"/>
    <x v="1"/>
    <x v="1"/>
    <x v="0"/>
    <x v="1"/>
    <n v="1"/>
    <n v="998"/>
    <x v="1"/>
    <x v="1"/>
    <s v="Mar"/>
  </r>
  <r>
    <n v="1003"/>
    <s v="Customer_3"/>
    <x v="1"/>
    <x v="2"/>
    <x v="1"/>
    <x v="2"/>
    <n v="5"/>
    <n v="876"/>
    <x v="2"/>
    <x v="2"/>
    <s v="Jan"/>
  </r>
  <r>
    <n v="1004"/>
    <s v="Customer_4"/>
    <x v="0"/>
    <x v="2"/>
    <x v="1"/>
    <x v="2"/>
    <n v="2"/>
    <n v="1290"/>
    <x v="3"/>
    <x v="0"/>
    <s v="Mar"/>
  </r>
  <r>
    <n v="1005"/>
    <s v="Customer_5"/>
    <x v="0"/>
    <x v="3"/>
    <x v="2"/>
    <x v="1"/>
    <n v="3"/>
    <n v="1092"/>
    <x v="4"/>
    <x v="0"/>
    <s v="Feb"/>
  </r>
  <r>
    <n v="1006"/>
    <s v="Customer_6"/>
    <x v="2"/>
    <x v="4"/>
    <x v="0"/>
    <x v="3"/>
    <n v="5"/>
    <n v="1939"/>
    <x v="5"/>
    <x v="0"/>
    <s v="Feb"/>
  </r>
  <r>
    <n v="1007"/>
    <s v="Customer_7"/>
    <x v="3"/>
    <x v="4"/>
    <x v="1"/>
    <x v="1"/>
    <n v="1"/>
    <n v="1798"/>
    <x v="6"/>
    <x v="0"/>
    <s v="Feb"/>
  </r>
  <r>
    <n v="1008"/>
    <s v="Customer_8"/>
    <x v="4"/>
    <x v="2"/>
    <x v="2"/>
    <x v="0"/>
    <n v="3"/>
    <n v="1808"/>
    <x v="7"/>
    <x v="0"/>
    <s v="Mar"/>
  </r>
  <r>
    <n v="1009"/>
    <s v="Customer_9"/>
    <x v="2"/>
    <x v="1"/>
    <x v="1"/>
    <x v="0"/>
    <n v="2"/>
    <n v="1381"/>
    <x v="8"/>
    <x v="0"/>
    <s v="Mar"/>
  </r>
  <r>
    <n v="1010"/>
    <s v="Customer_10"/>
    <x v="5"/>
    <x v="4"/>
    <x v="2"/>
    <x v="3"/>
    <n v="5"/>
    <n v="1670"/>
    <x v="9"/>
    <x v="0"/>
    <s v="Feb"/>
  </r>
  <r>
    <n v="1011"/>
    <s v="Customer_11"/>
    <x v="4"/>
    <x v="2"/>
    <x v="0"/>
    <x v="4"/>
    <n v="5"/>
    <n v="1857"/>
    <x v="10"/>
    <x v="1"/>
    <s v="Jan"/>
  </r>
  <r>
    <n v="1012"/>
    <s v="Customer_12"/>
    <x v="0"/>
    <x v="5"/>
    <x v="2"/>
    <x v="2"/>
    <n v="3"/>
    <n v="1572"/>
    <x v="11"/>
    <x v="3"/>
    <s v="Mar"/>
  </r>
  <r>
    <n v="1013"/>
    <s v="Customer_13"/>
    <x v="3"/>
    <x v="1"/>
    <x v="1"/>
    <x v="1"/>
    <n v="3"/>
    <n v="1868"/>
    <x v="12"/>
    <x v="1"/>
    <s v="Feb"/>
  </r>
  <r>
    <n v="1014"/>
    <s v="Customer_14"/>
    <x v="0"/>
    <x v="1"/>
    <x v="1"/>
    <x v="2"/>
    <n v="3"/>
    <n v="1743"/>
    <x v="13"/>
    <x v="2"/>
    <s v="Jan"/>
  </r>
  <r>
    <n v="1015"/>
    <s v="Customer_15"/>
    <x v="2"/>
    <x v="4"/>
    <x v="0"/>
    <x v="1"/>
    <n v="1"/>
    <n v="1544"/>
    <x v="14"/>
    <x v="2"/>
    <s v="Jan"/>
  </r>
  <r>
    <n v="1016"/>
    <s v="Customer_16"/>
    <x v="2"/>
    <x v="1"/>
    <x v="2"/>
    <x v="1"/>
    <n v="4"/>
    <n v="1819"/>
    <x v="15"/>
    <x v="0"/>
    <s v="Apr"/>
  </r>
  <r>
    <n v="1017"/>
    <s v="Customer_17"/>
    <x v="3"/>
    <x v="0"/>
    <x v="1"/>
    <x v="3"/>
    <n v="5"/>
    <n v="1992"/>
    <x v="16"/>
    <x v="1"/>
    <s v="Apr"/>
  </r>
  <r>
    <n v="1018"/>
    <s v="Customer_18"/>
    <x v="1"/>
    <x v="4"/>
    <x v="0"/>
    <x v="3"/>
    <n v="2"/>
    <n v="1003"/>
    <x v="15"/>
    <x v="1"/>
    <s v="Apr"/>
  </r>
  <r>
    <n v="1019"/>
    <s v="Customer_19"/>
    <x v="2"/>
    <x v="0"/>
    <x v="2"/>
    <x v="0"/>
    <n v="1"/>
    <n v="1010"/>
    <x v="17"/>
    <x v="0"/>
    <s v="Mar"/>
  </r>
  <r>
    <n v="1020"/>
    <s v="Customer_20"/>
    <x v="2"/>
    <x v="3"/>
    <x v="0"/>
    <x v="0"/>
    <n v="3"/>
    <n v="1588"/>
    <x v="18"/>
    <x v="0"/>
    <s v="Mar"/>
  </r>
  <r>
    <n v="1021"/>
    <s v="Customer_21"/>
    <x v="5"/>
    <x v="3"/>
    <x v="0"/>
    <x v="3"/>
    <n v="3"/>
    <n v="742"/>
    <x v="19"/>
    <x v="3"/>
    <s v="Mar"/>
  </r>
  <r>
    <n v="1022"/>
    <s v="Customer_22"/>
    <x v="5"/>
    <x v="3"/>
    <x v="2"/>
    <x v="2"/>
    <n v="4"/>
    <n v="1627"/>
    <x v="20"/>
    <x v="1"/>
    <s v="Mar"/>
  </r>
  <r>
    <n v="1023"/>
    <s v="Customer_23"/>
    <x v="0"/>
    <x v="3"/>
    <x v="2"/>
    <x v="3"/>
    <n v="5"/>
    <n v="1964"/>
    <x v="21"/>
    <x v="3"/>
    <s v="Apr"/>
  </r>
  <r>
    <n v="1024"/>
    <s v="Customer_24"/>
    <x v="4"/>
    <x v="3"/>
    <x v="0"/>
    <x v="4"/>
    <n v="4"/>
    <n v="817"/>
    <x v="22"/>
    <x v="3"/>
    <s v="Jan"/>
  </r>
  <r>
    <n v="1025"/>
    <s v="Customer_25"/>
    <x v="4"/>
    <x v="2"/>
    <x v="2"/>
    <x v="0"/>
    <n v="5"/>
    <n v="1571"/>
    <x v="23"/>
    <x v="0"/>
    <s v="Jan"/>
  </r>
  <r>
    <n v="1026"/>
    <s v="Customer_26"/>
    <x v="2"/>
    <x v="5"/>
    <x v="2"/>
    <x v="3"/>
    <n v="3"/>
    <n v="1302"/>
    <x v="18"/>
    <x v="0"/>
    <s v="Mar"/>
  </r>
  <r>
    <n v="1027"/>
    <s v="Customer_27"/>
    <x v="0"/>
    <x v="0"/>
    <x v="0"/>
    <x v="4"/>
    <n v="5"/>
    <n v="1060"/>
    <x v="24"/>
    <x v="3"/>
    <s v="Jan"/>
  </r>
  <r>
    <n v="1028"/>
    <s v="Customer_28"/>
    <x v="4"/>
    <x v="0"/>
    <x v="2"/>
    <x v="1"/>
    <n v="4"/>
    <n v="1879"/>
    <x v="25"/>
    <x v="2"/>
    <s v="Jan"/>
  </r>
  <r>
    <n v="1029"/>
    <s v="Customer_29"/>
    <x v="1"/>
    <x v="4"/>
    <x v="0"/>
    <x v="3"/>
    <n v="3"/>
    <n v="1963"/>
    <x v="7"/>
    <x v="0"/>
    <s v="Mar"/>
  </r>
  <r>
    <n v="1030"/>
    <s v="Customer_30"/>
    <x v="1"/>
    <x v="5"/>
    <x v="1"/>
    <x v="1"/>
    <n v="5"/>
    <n v="1673"/>
    <x v="24"/>
    <x v="0"/>
    <s v="Jan"/>
  </r>
  <r>
    <n v="1031"/>
    <s v="Customer_31"/>
    <x v="2"/>
    <x v="0"/>
    <x v="0"/>
    <x v="0"/>
    <n v="5"/>
    <n v="1135"/>
    <x v="26"/>
    <x v="0"/>
    <s v="Mar"/>
  </r>
  <r>
    <n v="1032"/>
    <s v="Customer_32"/>
    <x v="0"/>
    <x v="2"/>
    <x v="2"/>
    <x v="1"/>
    <n v="5"/>
    <n v="1550"/>
    <x v="27"/>
    <x v="1"/>
    <s v="Mar"/>
  </r>
  <r>
    <n v="1033"/>
    <s v="Customer_33"/>
    <x v="1"/>
    <x v="5"/>
    <x v="2"/>
    <x v="1"/>
    <n v="5"/>
    <n v="1646"/>
    <x v="28"/>
    <x v="1"/>
    <s v="Feb"/>
  </r>
  <r>
    <n v="1034"/>
    <s v="Customer_34"/>
    <x v="0"/>
    <x v="4"/>
    <x v="2"/>
    <x v="3"/>
    <n v="4"/>
    <n v="1559"/>
    <x v="29"/>
    <x v="0"/>
    <s v="Mar"/>
  </r>
  <r>
    <n v="1035"/>
    <s v="Customer_35"/>
    <x v="1"/>
    <x v="4"/>
    <x v="2"/>
    <x v="4"/>
    <n v="5"/>
    <n v="1793"/>
    <x v="30"/>
    <x v="3"/>
    <s v="Jan"/>
  </r>
  <r>
    <n v="1036"/>
    <s v="Customer_36"/>
    <x v="0"/>
    <x v="1"/>
    <x v="1"/>
    <x v="1"/>
    <n v="5"/>
    <n v="1030"/>
    <x v="31"/>
    <x v="2"/>
    <s v="Apr"/>
  </r>
  <r>
    <n v="1037"/>
    <s v="Customer_37"/>
    <x v="1"/>
    <x v="4"/>
    <x v="2"/>
    <x v="3"/>
    <n v="2"/>
    <n v="1921"/>
    <x v="32"/>
    <x v="2"/>
    <s v="Apr"/>
  </r>
  <r>
    <n v="1038"/>
    <s v="Customer_38"/>
    <x v="2"/>
    <x v="4"/>
    <x v="2"/>
    <x v="0"/>
    <n v="1"/>
    <n v="1674"/>
    <x v="33"/>
    <x v="2"/>
    <s v="Apr"/>
  </r>
  <r>
    <n v="1039"/>
    <s v="Customer_39"/>
    <x v="1"/>
    <x v="2"/>
    <x v="0"/>
    <x v="3"/>
    <n v="1"/>
    <n v="1218"/>
    <x v="2"/>
    <x v="2"/>
    <s v="Jan"/>
  </r>
  <r>
    <n v="1040"/>
    <s v="Customer_40"/>
    <x v="2"/>
    <x v="2"/>
    <x v="0"/>
    <x v="0"/>
    <n v="4"/>
    <n v="1034"/>
    <x v="0"/>
    <x v="2"/>
    <s v="May"/>
  </r>
  <r>
    <n v="1041"/>
    <s v="Customer_41"/>
    <x v="4"/>
    <x v="3"/>
    <x v="2"/>
    <x v="2"/>
    <n v="3"/>
    <n v="1633"/>
    <x v="18"/>
    <x v="2"/>
    <s v="Mar"/>
  </r>
  <r>
    <n v="1042"/>
    <s v="Customer_42"/>
    <x v="4"/>
    <x v="3"/>
    <x v="0"/>
    <x v="2"/>
    <n v="4"/>
    <n v="720"/>
    <x v="34"/>
    <x v="0"/>
    <s v="Jan"/>
  </r>
  <r>
    <n v="1043"/>
    <s v="Customer_43"/>
    <x v="2"/>
    <x v="3"/>
    <x v="2"/>
    <x v="3"/>
    <n v="2"/>
    <n v="1238"/>
    <x v="20"/>
    <x v="2"/>
    <s v="Mar"/>
  </r>
  <r>
    <n v="1044"/>
    <s v="Customer_44"/>
    <x v="0"/>
    <x v="0"/>
    <x v="0"/>
    <x v="4"/>
    <n v="4"/>
    <n v="1779"/>
    <x v="35"/>
    <x v="0"/>
    <s v="Jan"/>
  </r>
  <r>
    <n v="1045"/>
    <s v="Customer_45"/>
    <x v="4"/>
    <x v="0"/>
    <x v="0"/>
    <x v="0"/>
    <n v="5"/>
    <n v="1667"/>
    <x v="36"/>
    <x v="0"/>
    <s v="Apr"/>
  </r>
  <r>
    <n v="1046"/>
    <s v="Customer_46"/>
    <x v="3"/>
    <x v="2"/>
    <x v="1"/>
    <x v="1"/>
    <n v="1"/>
    <n v="1094"/>
    <x v="35"/>
    <x v="1"/>
    <s v="Jan"/>
  </r>
  <r>
    <n v="1047"/>
    <s v="Customer_47"/>
    <x v="0"/>
    <x v="1"/>
    <x v="0"/>
    <x v="4"/>
    <n v="5"/>
    <n v="1120"/>
    <x v="37"/>
    <x v="1"/>
    <s v="Jan"/>
  </r>
  <r>
    <n v="1048"/>
    <s v="Customer_48"/>
    <x v="0"/>
    <x v="5"/>
    <x v="0"/>
    <x v="2"/>
    <n v="5"/>
    <n v="1786"/>
    <x v="38"/>
    <x v="3"/>
    <s v="Mar"/>
  </r>
  <r>
    <n v="1049"/>
    <s v="Customer_49"/>
    <x v="1"/>
    <x v="5"/>
    <x v="2"/>
    <x v="2"/>
    <n v="1"/>
    <n v="1199"/>
    <x v="18"/>
    <x v="0"/>
    <s v="Mar"/>
  </r>
  <r>
    <n v="1050"/>
    <s v="Customer_50"/>
    <x v="1"/>
    <x v="4"/>
    <x v="2"/>
    <x v="1"/>
    <n v="1"/>
    <n v="733"/>
    <x v="35"/>
    <x v="3"/>
    <s v="Jan"/>
  </r>
  <r>
    <n v="1051"/>
    <s v="Customer_51"/>
    <x v="4"/>
    <x v="2"/>
    <x v="0"/>
    <x v="1"/>
    <n v="5"/>
    <n v="1113"/>
    <x v="39"/>
    <x v="2"/>
    <s v="Jan"/>
  </r>
  <r>
    <n v="1052"/>
    <s v="Customer_52"/>
    <x v="5"/>
    <x v="5"/>
    <x v="1"/>
    <x v="1"/>
    <n v="5"/>
    <n v="764"/>
    <x v="19"/>
    <x v="0"/>
    <s v="Mar"/>
  </r>
  <r>
    <n v="1053"/>
    <s v="Customer_53"/>
    <x v="0"/>
    <x v="4"/>
    <x v="2"/>
    <x v="2"/>
    <n v="1"/>
    <n v="1959"/>
    <x v="40"/>
    <x v="1"/>
    <s v="Feb"/>
  </r>
  <r>
    <n v="1054"/>
    <s v="Customer_54"/>
    <x v="4"/>
    <x v="5"/>
    <x v="0"/>
    <x v="4"/>
    <n v="1"/>
    <n v="1829"/>
    <x v="41"/>
    <x v="2"/>
    <s v="Apr"/>
  </r>
  <r>
    <n v="1055"/>
    <s v="Customer_55"/>
    <x v="5"/>
    <x v="4"/>
    <x v="2"/>
    <x v="1"/>
    <n v="2"/>
    <n v="899"/>
    <x v="42"/>
    <x v="1"/>
    <s v="Apr"/>
  </r>
  <r>
    <n v="1056"/>
    <s v="Customer_56"/>
    <x v="0"/>
    <x v="3"/>
    <x v="1"/>
    <x v="2"/>
    <n v="5"/>
    <n v="1250"/>
    <x v="30"/>
    <x v="0"/>
    <s v="Jan"/>
  </r>
  <r>
    <n v="1057"/>
    <s v="Customer_57"/>
    <x v="5"/>
    <x v="4"/>
    <x v="0"/>
    <x v="1"/>
    <n v="1"/>
    <n v="945"/>
    <x v="0"/>
    <x v="0"/>
    <s v="May"/>
  </r>
  <r>
    <n v="1058"/>
    <s v="Customer_58"/>
    <x v="4"/>
    <x v="2"/>
    <x v="0"/>
    <x v="0"/>
    <n v="5"/>
    <n v="1752"/>
    <x v="43"/>
    <x v="0"/>
    <s v="Apr"/>
  </r>
  <r>
    <n v="1059"/>
    <s v="Customer_59"/>
    <x v="5"/>
    <x v="4"/>
    <x v="1"/>
    <x v="3"/>
    <n v="4"/>
    <n v="1909"/>
    <x v="44"/>
    <x v="0"/>
    <s v="Apr"/>
  </r>
  <r>
    <n v="1060"/>
    <s v="Customer_60"/>
    <x v="3"/>
    <x v="4"/>
    <x v="1"/>
    <x v="1"/>
    <n v="5"/>
    <n v="1714"/>
    <x v="35"/>
    <x v="2"/>
    <s v="Jan"/>
  </r>
  <r>
    <n v="1061"/>
    <s v="Customer_61"/>
    <x v="2"/>
    <x v="3"/>
    <x v="1"/>
    <x v="2"/>
    <n v="5"/>
    <n v="1519"/>
    <x v="45"/>
    <x v="0"/>
    <s v="Feb"/>
  </r>
  <r>
    <n v="1062"/>
    <s v="Customer_62"/>
    <x v="1"/>
    <x v="0"/>
    <x v="1"/>
    <x v="0"/>
    <n v="4"/>
    <n v="1769"/>
    <x v="46"/>
    <x v="1"/>
    <s v="Apr"/>
  </r>
  <r>
    <n v="1063"/>
    <s v="Customer_63"/>
    <x v="1"/>
    <x v="2"/>
    <x v="2"/>
    <x v="4"/>
    <n v="5"/>
    <n v="1644"/>
    <x v="45"/>
    <x v="2"/>
    <s v="Feb"/>
  </r>
  <r>
    <n v="1064"/>
    <s v="Customer_64"/>
    <x v="4"/>
    <x v="2"/>
    <x v="1"/>
    <x v="3"/>
    <n v="2"/>
    <n v="1991"/>
    <x v="10"/>
    <x v="3"/>
    <s v="Jan"/>
  </r>
  <r>
    <n v="1065"/>
    <s v="Customer_65"/>
    <x v="1"/>
    <x v="5"/>
    <x v="0"/>
    <x v="4"/>
    <n v="3"/>
    <n v="1706"/>
    <x v="47"/>
    <x v="0"/>
    <s v="Jan"/>
  </r>
  <r>
    <n v="1066"/>
    <s v="Customer_66"/>
    <x v="0"/>
    <x v="5"/>
    <x v="0"/>
    <x v="4"/>
    <n v="1"/>
    <n v="1884"/>
    <x v="38"/>
    <x v="0"/>
    <s v="Mar"/>
  </r>
  <r>
    <n v="1067"/>
    <s v="Customer_67"/>
    <x v="1"/>
    <x v="4"/>
    <x v="2"/>
    <x v="1"/>
    <n v="3"/>
    <n v="1027"/>
    <x v="48"/>
    <x v="0"/>
    <s v="Apr"/>
  </r>
  <r>
    <n v="1068"/>
    <s v="Customer_68"/>
    <x v="5"/>
    <x v="2"/>
    <x v="2"/>
    <x v="2"/>
    <n v="2"/>
    <n v="788"/>
    <x v="46"/>
    <x v="2"/>
    <s v="Apr"/>
  </r>
  <r>
    <n v="1069"/>
    <s v="Customer_69"/>
    <x v="3"/>
    <x v="4"/>
    <x v="2"/>
    <x v="4"/>
    <n v="3"/>
    <n v="796"/>
    <x v="2"/>
    <x v="1"/>
    <s v="Jan"/>
  </r>
  <r>
    <n v="1070"/>
    <s v="Customer_70"/>
    <x v="1"/>
    <x v="4"/>
    <x v="1"/>
    <x v="1"/>
    <n v="4"/>
    <n v="1829"/>
    <x v="49"/>
    <x v="2"/>
    <s v="Jan"/>
  </r>
  <r>
    <n v="1071"/>
    <s v="Customer_71"/>
    <x v="4"/>
    <x v="1"/>
    <x v="1"/>
    <x v="0"/>
    <n v="2"/>
    <n v="1977"/>
    <x v="50"/>
    <x v="3"/>
    <s v="Jan"/>
  </r>
  <r>
    <n v="1072"/>
    <s v="Customer_72"/>
    <x v="2"/>
    <x v="1"/>
    <x v="2"/>
    <x v="3"/>
    <n v="5"/>
    <n v="1964"/>
    <x v="51"/>
    <x v="0"/>
    <s v="Feb"/>
  </r>
  <r>
    <n v="1073"/>
    <s v="Customer_73"/>
    <x v="0"/>
    <x v="4"/>
    <x v="2"/>
    <x v="3"/>
    <n v="2"/>
    <n v="1629"/>
    <x v="10"/>
    <x v="3"/>
    <s v="Jan"/>
  </r>
  <r>
    <n v="1074"/>
    <s v="Customer_74"/>
    <x v="3"/>
    <x v="2"/>
    <x v="0"/>
    <x v="4"/>
    <n v="1"/>
    <n v="1987"/>
    <x v="52"/>
    <x v="1"/>
    <s v="Apr"/>
  </r>
  <r>
    <n v="1075"/>
    <s v="Customer_75"/>
    <x v="3"/>
    <x v="5"/>
    <x v="1"/>
    <x v="1"/>
    <n v="4"/>
    <n v="1547"/>
    <x v="50"/>
    <x v="3"/>
    <s v="Jan"/>
  </r>
  <r>
    <n v="1076"/>
    <s v="Customer_76"/>
    <x v="4"/>
    <x v="4"/>
    <x v="0"/>
    <x v="3"/>
    <n v="5"/>
    <n v="1923"/>
    <x v="53"/>
    <x v="3"/>
    <s v="Apr"/>
  </r>
  <r>
    <n v="1077"/>
    <s v="Customer_77"/>
    <x v="2"/>
    <x v="4"/>
    <x v="1"/>
    <x v="1"/>
    <n v="2"/>
    <n v="1477"/>
    <x v="40"/>
    <x v="1"/>
    <s v="Feb"/>
  </r>
  <r>
    <n v="1078"/>
    <s v="Customer_78"/>
    <x v="5"/>
    <x v="0"/>
    <x v="2"/>
    <x v="0"/>
    <n v="4"/>
    <n v="1464"/>
    <x v="54"/>
    <x v="3"/>
    <s v="Jan"/>
  </r>
  <r>
    <n v="1079"/>
    <s v="Customer_79"/>
    <x v="0"/>
    <x v="3"/>
    <x v="2"/>
    <x v="0"/>
    <n v="3"/>
    <n v="1790"/>
    <x v="55"/>
    <x v="2"/>
    <s v="Feb"/>
  </r>
  <r>
    <n v="1080"/>
    <s v="Customer_80"/>
    <x v="0"/>
    <x v="3"/>
    <x v="1"/>
    <x v="0"/>
    <n v="4"/>
    <n v="1819"/>
    <x v="56"/>
    <x v="0"/>
    <s v="Feb"/>
  </r>
  <r>
    <n v="1081"/>
    <s v="Customer_81"/>
    <x v="5"/>
    <x v="0"/>
    <x v="0"/>
    <x v="0"/>
    <n v="5"/>
    <n v="1579"/>
    <x v="1"/>
    <x v="2"/>
    <s v="Mar"/>
  </r>
  <r>
    <n v="1082"/>
    <s v="Customer_82"/>
    <x v="4"/>
    <x v="2"/>
    <x v="0"/>
    <x v="1"/>
    <n v="1"/>
    <n v="756"/>
    <x v="38"/>
    <x v="0"/>
    <s v="Mar"/>
  </r>
  <r>
    <n v="1083"/>
    <s v="Customer_83"/>
    <x v="4"/>
    <x v="4"/>
    <x v="2"/>
    <x v="4"/>
    <n v="3"/>
    <n v="1165"/>
    <x v="57"/>
    <x v="3"/>
    <s v="Mar"/>
  </r>
  <r>
    <n v="1084"/>
    <s v="Customer_84"/>
    <x v="3"/>
    <x v="0"/>
    <x v="0"/>
    <x v="3"/>
    <n v="5"/>
    <n v="1229"/>
    <x v="20"/>
    <x v="3"/>
    <s v="Mar"/>
  </r>
  <r>
    <n v="1085"/>
    <s v="Customer_85"/>
    <x v="4"/>
    <x v="1"/>
    <x v="0"/>
    <x v="4"/>
    <n v="4"/>
    <n v="1656"/>
    <x v="53"/>
    <x v="3"/>
    <s v="Apr"/>
  </r>
  <r>
    <n v="1086"/>
    <s v="Customer_86"/>
    <x v="3"/>
    <x v="1"/>
    <x v="0"/>
    <x v="2"/>
    <n v="2"/>
    <n v="950"/>
    <x v="58"/>
    <x v="3"/>
    <s v="Apr"/>
  </r>
  <r>
    <n v="1087"/>
    <s v="Customer_87"/>
    <x v="1"/>
    <x v="3"/>
    <x v="2"/>
    <x v="4"/>
    <n v="1"/>
    <n v="1903"/>
    <x v="30"/>
    <x v="1"/>
    <s v="Jan"/>
  </r>
  <r>
    <n v="1088"/>
    <s v="Customer_88"/>
    <x v="4"/>
    <x v="2"/>
    <x v="1"/>
    <x v="0"/>
    <n v="5"/>
    <n v="718"/>
    <x v="59"/>
    <x v="3"/>
    <s v="Feb"/>
  </r>
  <r>
    <n v="1089"/>
    <s v="Customer_89"/>
    <x v="0"/>
    <x v="0"/>
    <x v="0"/>
    <x v="4"/>
    <n v="3"/>
    <n v="1249"/>
    <x v="35"/>
    <x v="0"/>
    <s v="Jan"/>
  </r>
  <r>
    <n v="1090"/>
    <s v="Customer_90"/>
    <x v="0"/>
    <x v="1"/>
    <x v="0"/>
    <x v="4"/>
    <n v="3"/>
    <n v="887"/>
    <x v="60"/>
    <x v="0"/>
    <s v="Feb"/>
  </r>
  <r>
    <n v="1091"/>
    <s v="Customer_91"/>
    <x v="2"/>
    <x v="3"/>
    <x v="0"/>
    <x v="3"/>
    <n v="5"/>
    <n v="1357"/>
    <x v="20"/>
    <x v="1"/>
    <s v="Mar"/>
  </r>
  <r>
    <n v="1092"/>
    <s v="Customer_92"/>
    <x v="2"/>
    <x v="2"/>
    <x v="0"/>
    <x v="4"/>
    <n v="3"/>
    <n v="1361"/>
    <x v="61"/>
    <x v="2"/>
    <s v="Feb"/>
  </r>
  <r>
    <n v="1093"/>
    <s v="Customer_93"/>
    <x v="4"/>
    <x v="1"/>
    <x v="0"/>
    <x v="2"/>
    <n v="3"/>
    <n v="1971"/>
    <x v="34"/>
    <x v="2"/>
    <s v="Jan"/>
  </r>
  <r>
    <n v="1094"/>
    <s v="Customer_94"/>
    <x v="0"/>
    <x v="2"/>
    <x v="1"/>
    <x v="4"/>
    <n v="1"/>
    <n v="1622"/>
    <x v="20"/>
    <x v="2"/>
    <s v="Mar"/>
  </r>
  <r>
    <n v="1095"/>
    <s v="Customer_95"/>
    <x v="1"/>
    <x v="0"/>
    <x v="2"/>
    <x v="4"/>
    <n v="4"/>
    <n v="1388"/>
    <x v="62"/>
    <x v="2"/>
    <s v="Jan"/>
  </r>
  <r>
    <n v="1096"/>
    <s v="Customer_96"/>
    <x v="2"/>
    <x v="4"/>
    <x v="0"/>
    <x v="1"/>
    <n v="1"/>
    <n v="1743"/>
    <x v="27"/>
    <x v="2"/>
    <s v="Mar"/>
  </r>
  <r>
    <n v="1097"/>
    <s v="Customer_97"/>
    <x v="4"/>
    <x v="2"/>
    <x v="1"/>
    <x v="4"/>
    <n v="3"/>
    <n v="1671"/>
    <x v="63"/>
    <x v="2"/>
    <s v="Feb"/>
  </r>
  <r>
    <n v="1098"/>
    <s v="Customer_98"/>
    <x v="4"/>
    <x v="2"/>
    <x v="1"/>
    <x v="4"/>
    <n v="4"/>
    <n v="1125"/>
    <x v="64"/>
    <x v="0"/>
    <s v="Jan"/>
  </r>
  <r>
    <n v="1099"/>
    <s v="Customer_99"/>
    <x v="3"/>
    <x v="2"/>
    <x v="1"/>
    <x v="0"/>
    <n v="5"/>
    <n v="1540"/>
    <x v="59"/>
    <x v="0"/>
    <s v="Feb"/>
  </r>
  <r>
    <n v="1100"/>
    <s v="Customer_100"/>
    <x v="4"/>
    <x v="3"/>
    <x v="1"/>
    <x v="1"/>
    <n v="3"/>
    <n v="1549"/>
    <x v="38"/>
    <x v="0"/>
    <s v="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0A878-1FD6-4EF7-AA0D-EBAE4FE797E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D45:E47" firstHeaderRow="1" firstDataRow="1" firstDataCol="1"/>
  <pivotFields count="13">
    <pivotField showAll="0"/>
    <pivotField showAll="0"/>
    <pivotField axis="axisRow" showAll="0" measureFilter="1">
      <items count="7">
        <item x="1"/>
        <item x="3"/>
        <item x="5"/>
        <item x="2"/>
        <item x="4"/>
        <item x="0"/>
        <item t="default"/>
      </items>
    </pivotField>
    <pivotField showAll="0">
      <items count="7">
        <item x="1"/>
        <item x="0"/>
        <item x="5"/>
        <item x="4"/>
        <item x="3"/>
        <item x="2"/>
        <item t="default"/>
      </items>
    </pivotField>
    <pivotField showAll="0"/>
    <pivotField showAll="0">
      <items count="6">
        <item x="2"/>
        <item x="1"/>
        <item x="0"/>
        <item x="3"/>
        <item x="4"/>
        <item t="default"/>
      </items>
    </pivotField>
    <pivotField showAll="0"/>
    <pivotField dataField="1" numFmtId="164"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v="5"/>
    </i>
    <i t="grand">
      <x/>
    </i>
  </rowItems>
  <colItems count="1">
    <i/>
  </colItems>
  <dataFields count="1">
    <dataField name="Sum of Price" fld="7" baseField="0" baseItem="0" numFmtId="165"/>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COLOR" colHeaderCaption="Iphone model">
  <location ref="N28:O34" firstHeaderRow="1" firstDataRow="1" firstDataCol="1"/>
  <pivotFields count="13">
    <pivotField showAll="0"/>
    <pivotField showAll="0"/>
    <pivotField showAll="0">
      <items count="7">
        <item x="1"/>
        <item x="3"/>
        <item x="5"/>
        <item x="2"/>
        <item x="4"/>
        <item x="0"/>
        <item t="default"/>
      </items>
    </pivotField>
    <pivotField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1"/>
    </i>
    <i>
      <x v="4"/>
    </i>
    <i>
      <x v="3"/>
    </i>
    <i>
      <x v="2"/>
    </i>
    <i>
      <x/>
    </i>
    <i t="grand">
      <x/>
    </i>
  </rowItems>
  <colItems count="1">
    <i/>
  </colItems>
  <dataFields count="1">
    <dataField name="Count of Quantity" fld="6"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7D652-0EC9-4711-92B3-93FA69324A04}" name="PivotTable1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rowHeaderCaption="Iphone model" colHeaderCaption="Iphone model">
  <location ref="W3:X5" firstHeaderRow="1" firstDataRow="1" firstDataCol="1"/>
  <pivotFields count="13">
    <pivotField showAll="0"/>
    <pivotField showAll="0"/>
    <pivotField showAll="0">
      <items count="7">
        <item x="1"/>
        <item x="3"/>
        <item x="5"/>
        <item x="2"/>
        <item x="4"/>
        <item x="0"/>
        <item t="default"/>
      </items>
    </pivotField>
    <pivotField axis="axisRow" showAll="0" measureFilter="1">
      <items count="7">
        <item x="1"/>
        <item x="0"/>
        <item x="5"/>
        <item x="4"/>
        <item x="3"/>
        <item x="2"/>
        <item t="default"/>
      </items>
    </pivotField>
    <pivotField showAll="0"/>
    <pivotField showAll="0">
      <items count="6">
        <item x="2"/>
        <item x="1"/>
        <item x="0"/>
        <item x="3"/>
        <item x="4"/>
        <item t="default"/>
      </items>
    </pivotField>
    <pivotField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3"/>
    </i>
    <i t="grand">
      <x/>
    </i>
  </rowItems>
  <colItems count="1">
    <i/>
  </colItems>
  <dataFields count="1">
    <dataField name="Sum of Price" fld="7" baseField="0" baseItem="0" numFmtId="165"/>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Iphone model" colHeaderCaption="Iphone model">
  <location ref="K3:M10" firstHeaderRow="0" firstDataRow="1" firstDataCol="1"/>
  <pivotFields count="13">
    <pivotField showAll="0"/>
    <pivotField showAll="0"/>
    <pivotField showAll="0">
      <items count="7">
        <item x="1"/>
        <item x="3"/>
        <item x="5"/>
        <item x="2"/>
        <item x="4"/>
        <item x="0"/>
        <item t="default"/>
      </items>
    </pivotField>
    <pivotField axis="axisRow" showAll="0">
      <items count="7">
        <item x="1"/>
        <item x="0"/>
        <item x="5"/>
        <item x="4"/>
        <item x="3"/>
        <item x="2"/>
        <item t="default"/>
      </items>
    </pivotField>
    <pivotField showAll="0"/>
    <pivotField showAll="0">
      <items count="6">
        <item x="2"/>
        <item x="1"/>
        <item x="0"/>
        <item x="3"/>
        <item x="4"/>
        <item t="default"/>
      </items>
    </pivotField>
    <pivotField dataField="1"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Count of Price" fld="7" subtotal="count" baseField="0" baseItem="0"/>
    <dataField name="Count of Quant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FB5821-9C4D-444A-B07D-91C2186D325C}"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untry" colHeaderCaption="Iphone model">
  <location ref="N39:U42" firstHeaderRow="1" firstDataRow="2" firstDataCol="1"/>
  <pivotFields count="13">
    <pivotField showAll="0"/>
    <pivotField showAll="0"/>
    <pivotField axis="axisRow" showAll="0" measureFilter="1">
      <items count="7">
        <item x="1"/>
        <item x="3"/>
        <item x="5"/>
        <item x="2"/>
        <item x="4"/>
        <item x="0"/>
        <item t="default"/>
      </items>
    </pivotField>
    <pivotField axis="axisCol"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4"/>
    </i>
    <i t="grand">
      <x/>
    </i>
  </rowItems>
  <colFields count="1">
    <field x="3"/>
  </colFields>
  <colItems count="7">
    <i>
      <x v="5"/>
    </i>
    <i>
      <x v="4"/>
    </i>
    <i>
      <x v="1"/>
    </i>
    <i>
      <x/>
    </i>
    <i>
      <x v="3"/>
    </i>
    <i>
      <x v="2"/>
    </i>
    <i t="grand">
      <x/>
    </i>
  </colItems>
  <dataFields count="1">
    <dataField name="Sum of Quantity" fld="6" baseField="0"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rowHeaderCaption="Iphone model" colHeaderCaption="Iphone model">
  <location ref="D3:E10" firstHeaderRow="1" firstDataRow="1" firstDataCol="1"/>
  <pivotFields count="13">
    <pivotField showAll="0"/>
    <pivotField showAll="0"/>
    <pivotField showAll="0">
      <items count="7">
        <item x="1"/>
        <item x="3"/>
        <item x="5"/>
        <item x="2"/>
        <item x="4"/>
        <item x="0"/>
        <item t="default"/>
      </items>
    </pivotField>
    <pivotField axis="axisRow"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v="3"/>
    </i>
    <i>
      <x v="5"/>
    </i>
    <i>
      <x v="4"/>
    </i>
    <i>
      <x v="1"/>
    </i>
    <i>
      <x/>
    </i>
    <i>
      <x v="2"/>
    </i>
    <i t="grand">
      <x/>
    </i>
  </rowItems>
  <colItems count="1">
    <i/>
  </colItems>
  <dataFields count="1">
    <dataField name="Sum of Price" fld="7" baseField="0" baseItem="0" numFmtId="165"/>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2CB364-5694-471C-B2F2-647517C293EA}" name="PivotTable2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rowHeaderCaption="Iphone model" colHeaderCaption="Iphone model">
  <location ref="Q27:R34" firstHeaderRow="1" firstDataRow="1" firstDataCol="1"/>
  <pivotFields count="13">
    <pivotField showAll="0"/>
    <pivotField showAll="0"/>
    <pivotField showAll="0">
      <items count="7">
        <item x="1"/>
        <item x="3"/>
        <item x="5"/>
        <item x="2"/>
        <item x="4"/>
        <item x="0"/>
        <item t="default"/>
      </items>
    </pivotField>
    <pivotField axis="axisRow" showAll="0">
      <items count="7">
        <item x="1"/>
        <item x="0"/>
        <item x="5"/>
        <item x="4"/>
        <item x="3"/>
        <item x="2"/>
        <item t="default"/>
      </items>
    </pivotField>
    <pivotField showAll="0"/>
    <pivotField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Average of Quantity"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9546A2-3FF5-4260-9ED0-95AA9B66797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J45:K49" firstHeaderRow="1" firstDataRow="1" firstDataCol="1"/>
  <pivotFields count="13">
    <pivotField showAll="0"/>
    <pivotField showAll="0"/>
    <pivotField axis="axisRow" showAll="0" measureFilter="1" sortType="descending">
      <items count="7">
        <item x="1"/>
        <item x="3"/>
        <item x="5"/>
        <item x="2"/>
        <item x="4"/>
        <item x="0"/>
        <item t="default"/>
      </items>
      <autoSortScope>
        <pivotArea dataOnly="0" outline="0" fieldPosition="0">
          <references count="1">
            <reference field="4294967294" count="1" selected="0">
              <x v="0"/>
            </reference>
          </references>
        </pivotArea>
      </autoSortScope>
    </pivotField>
    <pivotField showAll="0">
      <items count="7">
        <item x="1"/>
        <item x="0"/>
        <item x="5"/>
        <item x="4"/>
        <item x="3"/>
        <item x="2"/>
        <item t="default"/>
      </items>
    </pivotField>
    <pivotField showAll="0"/>
    <pivotField showAll="0">
      <items count="6">
        <item x="2"/>
        <item x="1"/>
        <item x="0"/>
        <item x="3"/>
        <item x="4"/>
        <item t="default"/>
      </items>
    </pivotField>
    <pivotField showAll="0"/>
    <pivotField dataField="1" numFmtId="164"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5"/>
    </i>
    <i>
      <x v="4"/>
    </i>
    <i>
      <x/>
    </i>
    <i t="grand">
      <x/>
    </i>
  </rowItems>
  <colItems count="1">
    <i/>
  </colItems>
  <dataFields count="1">
    <dataField name="Sum of Price" fld="7" baseField="0" baseItem="0" numFmtId="165"/>
  </dataField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 chart="2" format="4">
      <pivotArea type="data" outline="0" fieldPosition="0">
        <references count="2">
          <reference field="4294967294" count="1" selected="0">
            <x v="0"/>
          </reference>
          <reference field="2" count="1" selected="0">
            <x v="5"/>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 count="1" selected="0">
            <x v="5"/>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rowHeaderCaption="Month" colHeaderCaption="Iphone model">
  <location ref="A29:C35" firstHeaderRow="0" firstDataRow="1" firstDataCol="1"/>
  <pivotFields count="13">
    <pivotField showAll="0"/>
    <pivotField showAll="0"/>
    <pivotField showAll="0">
      <items count="7">
        <item x="1"/>
        <item x="3"/>
        <item x="5"/>
        <item x="2"/>
        <item x="4"/>
        <item x="0"/>
        <item t="default"/>
      </items>
    </pivotField>
    <pivotField showAll="0">
      <items count="7">
        <item x="1"/>
        <item x="0"/>
        <item x="5"/>
        <item x="4"/>
        <item x="3"/>
        <item x="2"/>
        <item t="default"/>
      </items>
    </pivotField>
    <pivotField showAll="0"/>
    <pivotField showAll="0">
      <items count="6">
        <item x="2"/>
        <item x="1"/>
        <item x="0"/>
        <item x="3"/>
        <item x="4"/>
        <item t="default"/>
      </items>
    </pivotField>
    <pivotField dataField="1" showAll="0"/>
    <pivotField dataField="1" showAll="0"/>
    <pivotField axis="axisRow"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8"/>
  </rowFields>
  <rowItems count="6">
    <i>
      <x v="1"/>
    </i>
    <i>
      <x v="2"/>
    </i>
    <i>
      <x v="3"/>
    </i>
    <i>
      <x v="4"/>
    </i>
    <i>
      <x v="5"/>
    </i>
    <i t="grand">
      <x/>
    </i>
  </rowItems>
  <colFields count="1">
    <field x="-2"/>
  </colFields>
  <colItems count="2">
    <i>
      <x/>
    </i>
    <i i="1">
      <x v="1"/>
    </i>
  </colItems>
  <dataFields count="2">
    <dataField name="Sum of Quantity" fld="6" baseField="0" baseItem="0"/>
    <dataField name="Sum of Price" fld="7" baseField="0" baseItem="0" numFmtId="165"/>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1F3276-C68A-4FE7-958F-5CCAF59E5BCA}" name="PivotTable1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rowHeaderCaption="Iphone model" colHeaderCaption="Iphone model">
  <location ref="A46:B48" firstHeaderRow="1" firstDataRow="1" firstDataCol="1"/>
  <pivotFields count="13">
    <pivotField showAll="0"/>
    <pivotField showAll="0"/>
    <pivotField showAll="0">
      <items count="7">
        <item x="1"/>
        <item x="3"/>
        <item x="5"/>
        <item x="2"/>
        <item x="4"/>
        <item x="0"/>
        <item t="default"/>
      </items>
    </pivotField>
    <pivotField axis="axisRow" showAll="0" measureFilter="1"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3"/>
    </i>
    <i t="grand">
      <x/>
    </i>
  </rowItems>
  <colItems count="1">
    <i/>
  </colItems>
  <dataFields count="1">
    <dataField name="Sum of Price" fld="7"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Iphone model">
  <location ref="I39:K43" firstHeaderRow="0" firstDataRow="1" firstDataCol="1"/>
  <pivotFields count="13">
    <pivotField showAll="0"/>
    <pivotField showAll="0"/>
    <pivotField showAll="0">
      <items count="7">
        <item x="1"/>
        <item x="3"/>
        <item x="5"/>
        <item x="2"/>
        <item x="4"/>
        <item x="0"/>
        <item t="default"/>
      </items>
    </pivotField>
    <pivotField axis="axisRow" showAll="0" measureFilter="1"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3"/>
    </i>
    <i>
      <x v="5"/>
    </i>
    <i>
      <x v="4"/>
    </i>
    <i t="grand">
      <x/>
    </i>
  </rowItems>
  <colFields count="1">
    <field x="-2"/>
  </colFields>
  <colItems count="2">
    <i>
      <x/>
    </i>
    <i i="1">
      <x v="1"/>
    </i>
  </colItems>
  <dataFields count="2">
    <dataField name="Count of Price" fld="7" subtotal="count" baseField="0" baseItem="0"/>
    <dataField name="Count of Quantity" fld="6" subtotal="count"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untry" colHeaderCaption="Iphone model">
  <location ref="A15:H23" firstHeaderRow="1" firstDataRow="2" firstDataCol="1"/>
  <pivotFields count="13">
    <pivotField showAll="0"/>
    <pivotField showAll="0"/>
    <pivotField axis="axisRow" showAll="0">
      <items count="7">
        <item x="1"/>
        <item x="3"/>
        <item x="5"/>
        <item x="2"/>
        <item x="4"/>
        <item x="0"/>
        <item t="default"/>
      </items>
    </pivotField>
    <pivotField axis="axisCol"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Fields count="1">
    <field x="3"/>
  </colFields>
  <colItems count="7">
    <i>
      <x v="5"/>
    </i>
    <i>
      <x v="3"/>
    </i>
    <i>
      <x v="1"/>
    </i>
    <i>
      <x v="4"/>
    </i>
    <i>
      <x/>
    </i>
    <i>
      <x v="2"/>
    </i>
    <i t="grand">
      <x/>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8E36A0-1ADC-4279-8F32-1C447AF26E9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G45:H52" firstHeaderRow="1" firstDataRow="1" firstDataCol="1"/>
  <pivotFields count="13">
    <pivotField showAll="0"/>
    <pivotField showAll="0"/>
    <pivotField axis="axisRow" showAll="0">
      <items count="7">
        <item x="1"/>
        <item x="3"/>
        <item x="5"/>
        <item x="2"/>
        <item x="4"/>
        <item x="0"/>
        <item t="default"/>
      </items>
    </pivotField>
    <pivotField showAll="0">
      <items count="7">
        <item x="1"/>
        <item x="0"/>
        <item x="5"/>
        <item x="4"/>
        <item x="3"/>
        <item x="2"/>
        <item t="default"/>
      </items>
    </pivotField>
    <pivotField showAll="0"/>
    <pivotField showAll="0">
      <items count="6">
        <item x="2"/>
        <item x="1"/>
        <item x="0"/>
        <item x="3"/>
        <item x="4"/>
        <item t="default"/>
      </items>
    </pivotField>
    <pivotField showAll="0"/>
    <pivotField dataField="1" numFmtId="164"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Price"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Payment method" colHeaderCaption="Iphone model">
  <location ref="E39:G41" firstHeaderRow="0" firstDataRow="1" firstDataCol="1"/>
  <pivotFields count="13">
    <pivotField showAll="0"/>
    <pivotField showAll="0"/>
    <pivotField showAll="0">
      <items count="7">
        <item x="1"/>
        <item x="3"/>
        <item x="5"/>
        <item x="2"/>
        <item x="4"/>
        <item x="0"/>
        <item t="default"/>
      </items>
    </pivotField>
    <pivotField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axis="axisRow" showAll="0" measureFilter="1"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v="2"/>
    </i>
    <i t="grand">
      <x/>
    </i>
  </rowItems>
  <colFields count="1">
    <field x="-2"/>
  </colFields>
  <colItems count="2">
    <i>
      <x/>
    </i>
    <i i="1">
      <x v="1"/>
    </i>
  </colItems>
  <dataFields count="2">
    <dataField name="Sum of Quantity" fld="6" baseField="0" baseItem="0"/>
    <dataField name="Sum of Price" fld="7" baseField="0" baseItem="0" numFmtId="165"/>
  </dataFields>
  <formats count="3">
    <format dxfId="18">
      <pivotArea collapsedLevelsAreSubtotals="1" fieldPosition="0">
        <references count="2">
          <reference field="4294967294" count="1" selected="0">
            <x v="1"/>
          </reference>
          <reference field="9" count="1">
            <x v="2"/>
          </reference>
        </references>
      </pivotArea>
    </format>
    <format dxfId="17">
      <pivotArea dataOnly="0" outline="0" fieldPosition="0">
        <references count="1">
          <reference field="4294967294" count="1">
            <x v="1"/>
          </reference>
        </references>
      </pivotArea>
    </format>
    <format dxfId="16">
      <pivotArea outline="0" fieldPosition="0">
        <references count="1">
          <reference field="4294967294" count="1">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2"/>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pivotArea type="data" outline="0" fieldPosition="0">
        <references count="2">
          <reference field="4294967294" count="1" selected="0">
            <x v="1"/>
          </reference>
          <reference field="9" count="1" selected="0">
            <x v="2"/>
          </reference>
        </references>
      </pivotArea>
    </chartFormat>
    <chartFormat chart="3" format="6">
      <pivotArea type="data" outline="0" fieldPosition="0">
        <references count="2">
          <reference field="4294967294" count="1" selected="0">
            <x v="1"/>
          </reference>
          <reference field="9" count="1" selected="0">
            <x v="1"/>
          </reference>
        </references>
      </pivotArea>
    </chartFormat>
    <chartFormat chart="3" format="7">
      <pivotArea type="data" outline="0" fieldPosition="0">
        <references count="2">
          <reference field="4294967294" count="1" selected="0">
            <x v="1"/>
          </reference>
          <reference field="9"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1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Iphone model" colHeaderCaption="Iphone model">
  <location ref="A39:B41" firstHeaderRow="1" firstDataRow="1" firstDataCol="1"/>
  <pivotFields count="13">
    <pivotField showAll="0"/>
    <pivotField showAll="0"/>
    <pivotField showAll="0">
      <items count="7">
        <item x="1"/>
        <item x="3"/>
        <item x="5"/>
        <item x="2"/>
        <item x="4"/>
        <item x="0"/>
        <item t="default"/>
      </items>
    </pivotField>
    <pivotField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1"/>
    </i>
    <i t="grand">
      <x/>
    </i>
  </rowItems>
  <colItems count="1">
    <i/>
  </colItems>
  <dataFields count="1">
    <dataField name="Count of Quantity" fld="6" subtotal="count" baseField="0" baseItem="0"/>
  </dataFields>
  <pivotTableStyleInfo name="PivotStyleLight16" showRowHeaders="1" showColHeaders="1" showRowStripes="0" showColStripes="0" showLastColumn="1"/>
  <filters count="1">
    <filter fld="5"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lor" colHeaderCaption="Iphone model">
  <location ref="K15:R22" firstHeaderRow="1" firstDataRow="2" firstDataCol="1"/>
  <pivotFields count="13">
    <pivotField showAll="0"/>
    <pivotField showAll="0"/>
    <pivotField showAll="0">
      <items count="7">
        <item x="1"/>
        <item x="3"/>
        <item x="5"/>
        <item x="2"/>
        <item x="4"/>
        <item x="0"/>
        <item t="default"/>
      </items>
    </pivotField>
    <pivotField axis="axisCol"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axis="axisRow"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3"/>
  </colFields>
  <colItems count="7">
    <i>
      <x v="5"/>
    </i>
    <i>
      <x v="3"/>
    </i>
    <i>
      <x v="1"/>
    </i>
    <i>
      <x v="4"/>
    </i>
    <i>
      <x/>
    </i>
    <i>
      <x v="2"/>
    </i>
    <i t="grand">
      <x/>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8" rowHeaderCaption="Iphone model" colHeaderCaption="Iphone model">
  <location ref="A3:B10" firstHeaderRow="1" firstDataRow="1" firstDataCol="1"/>
  <pivotFields count="13">
    <pivotField showAll="0"/>
    <pivotField showAll="0"/>
    <pivotField showAll="0">
      <items count="7">
        <item x="1"/>
        <item x="3"/>
        <item x="5"/>
        <item x="2"/>
        <item x="4"/>
        <item x="0"/>
        <item t="default"/>
      </items>
    </pivotField>
    <pivotField axis="axisRow"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v="5"/>
    </i>
    <i>
      <x v="3"/>
    </i>
    <i>
      <x v="1"/>
    </i>
    <i>
      <x v="4"/>
    </i>
    <i>
      <x/>
    </i>
    <i>
      <x v="2"/>
    </i>
    <i t="grand">
      <x/>
    </i>
  </rowItems>
  <colItems count="1">
    <i/>
  </colItems>
  <dataFields count="1">
    <dataField name="Sum of Quantity" fld="6"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Iphone model" colHeaderCaption="Storage">
  <location ref="P3:T11" firstHeaderRow="1" firstDataRow="2" firstDataCol="1"/>
  <pivotFields count="13">
    <pivotField showAll="0"/>
    <pivotField showAll="0"/>
    <pivotField showAll="0">
      <items count="7">
        <item x="1"/>
        <item x="3"/>
        <item x="5"/>
        <item x="2"/>
        <item x="4"/>
        <item x="0"/>
        <item t="default"/>
      </items>
    </pivotField>
    <pivotField axis="axisRow" showAll="0">
      <items count="7">
        <item x="1"/>
        <item x="0"/>
        <item x="5"/>
        <item x="4"/>
        <item x="3"/>
        <item x="2"/>
        <item t="default"/>
      </items>
    </pivotField>
    <pivotField axis="axisCol" showAll="0">
      <items count="4">
        <item x="2"/>
        <item x="0"/>
        <item x="1"/>
        <item t="default"/>
      </items>
    </pivotField>
    <pivotField showAll="0">
      <items count="6">
        <item x="2"/>
        <item x="1"/>
        <item x="0"/>
        <item x="3"/>
        <item x="4"/>
        <item t="default"/>
      </items>
    </pivotField>
    <pivotField dataField="1" showAll="0"/>
    <pivotField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4"/>
  </colFields>
  <colItems count="4">
    <i>
      <x/>
    </i>
    <i>
      <x v="1"/>
    </i>
    <i>
      <x v="2"/>
    </i>
    <i t="grand">
      <x/>
    </i>
  </colItems>
  <dataFields count="1">
    <dataField name="Count of Quant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0"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rowHeaderCaption="Payment method" colHeaderCaption="Iphone model">
  <location ref="E29:G34" firstHeaderRow="0" firstDataRow="1" firstDataCol="1"/>
  <pivotFields count="13">
    <pivotField showAll="0"/>
    <pivotField showAll="0"/>
    <pivotField showAll="0">
      <items count="7">
        <item x="1"/>
        <item x="3"/>
        <item x="5"/>
        <item x="2"/>
        <item x="4"/>
        <item x="0"/>
        <item t="default"/>
      </items>
    </pivotField>
    <pivotField showAll="0" sortType="descending">
      <items count="7">
        <item x="1"/>
        <item x="0"/>
        <item x="5"/>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dataField="1"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2"/>
    </i>
    <i>
      <x v="1"/>
    </i>
    <i>
      <x/>
    </i>
    <i>
      <x v="3"/>
    </i>
    <i t="grand">
      <x/>
    </i>
  </rowItems>
  <colFields count="1">
    <field x="-2"/>
  </colFields>
  <colItems count="2">
    <i>
      <x/>
    </i>
    <i i="1">
      <x v="1"/>
    </i>
  </colItems>
  <dataFields count="2">
    <dataField name="Sum of Quantity" fld="6" baseField="0" baseItem="0"/>
    <dataField name="Sum of Price" fld="7" baseField="0" baseItem="0" numFmtId="165"/>
  </dataFields>
  <formats count="2">
    <format dxfId="20">
      <pivotArea dataOnly="0" outline="0" fieldPosition="0">
        <references count="1">
          <reference field="4294967294" count="1">
            <x v="1"/>
          </reference>
        </references>
      </pivotArea>
    </format>
    <format dxfId="19">
      <pivotArea outline="0" fieldPosition="0">
        <references count="1">
          <reference field="4294967294" count="1">
            <x v="1"/>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9" count="1" selected="0">
            <x v="2"/>
          </reference>
        </references>
      </pivotArea>
    </chartFormat>
    <chartFormat chart="2" format="9">
      <pivotArea type="data" outline="0" fieldPosition="0">
        <references count="2">
          <reference field="4294967294" count="1" selected="0">
            <x v="1"/>
          </reference>
          <reference field="9" count="1" selected="0">
            <x v="1"/>
          </reference>
        </references>
      </pivotArea>
    </chartFormat>
    <chartFormat chart="2" format="10">
      <pivotArea type="data" outline="0" fieldPosition="0">
        <references count="2">
          <reference field="4294967294" count="1" selected="0">
            <x v="1"/>
          </reference>
          <reference field="9" count="1" selected="0">
            <x v="0"/>
          </reference>
        </references>
      </pivotArea>
    </chartFormat>
    <chartFormat chart="2" format="11">
      <pivotArea type="data" outline="0" fieldPosition="0">
        <references count="2">
          <reference field="4294967294" count="1" selected="0">
            <x v="1"/>
          </reference>
          <reference field="9"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0"/>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9" count="1" selected="0">
            <x v="2"/>
          </reference>
        </references>
      </pivotArea>
    </chartFormat>
    <chartFormat chart="3" format="19">
      <pivotArea type="data" outline="0" fieldPosition="0">
        <references count="2">
          <reference field="4294967294" count="1" selected="0">
            <x v="1"/>
          </reference>
          <reference field="9" count="1" selected="0">
            <x v="1"/>
          </reference>
        </references>
      </pivotArea>
    </chartFormat>
    <chartFormat chart="3" format="20">
      <pivotArea type="data" outline="0" fieldPosition="0">
        <references count="2">
          <reference field="4294967294" count="1" selected="0">
            <x v="1"/>
          </reference>
          <reference field="9" count="1" selected="0">
            <x v="0"/>
          </reference>
        </references>
      </pivotArea>
    </chartFormat>
    <chartFormat chart="3" format="21">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Month" colHeaderCaption="Iphone model">
  <location ref="I29:K31" firstHeaderRow="0" firstDataRow="1" firstDataCol="1"/>
  <pivotFields count="13">
    <pivotField showAll="0"/>
    <pivotField showAll="0"/>
    <pivotField showAll="0">
      <items count="7">
        <item x="1"/>
        <item x="3"/>
        <item x="5"/>
        <item x="2"/>
        <item x="4"/>
        <item x="0"/>
        <item t="default"/>
      </items>
    </pivotField>
    <pivotField showAll="0">
      <items count="7">
        <item x="1"/>
        <item x="0"/>
        <item x="5"/>
        <item x="4"/>
        <item x="3"/>
        <item x="2"/>
        <item t="default"/>
      </items>
    </pivotField>
    <pivotField showAll="0"/>
    <pivotField showAll="0">
      <items count="6">
        <item x="2"/>
        <item x="1"/>
        <item x="0"/>
        <item x="3"/>
        <item x="4"/>
        <item t="default"/>
      </items>
    </pivotField>
    <pivotField dataField="1" showAll="0"/>
    <pivotField dataField="1" showAll="0"/>
    <pivotField axis="axisRow"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3">
    <field x="12"/>
    <field x="11"/>
    <field x="8"/>
  </rowFields>
  <rowItems count="2">
    <i>
      <x v="1"/>
    </i>
    <i t="grand">
      <x/>
    </i>
  </rowItems>
  <colFields count="1">
    <field x="-2"/>
  </colFields>
  <colItems count="2">
    <i>
      <x/>
    </i>
    <i i="1">
      <x v="1"/>
    </i>
  </colItems>
  <dataFields count="2">
    <dataField name="Sum of Quantity" fld="6" baseField="0" baseItem="0"/>
    <dataField name="Sum of Price" fld="7" baseField="0" baseItem="0" numFmtId="165"/>
  </dataFields>
  <pivotTableStyleInfo name="PivotStyleLight16" showRowHeaders="1" showColHeaders="1" showRowStripes="0" showColStripes="0" showLastColumn="1"/>
  <filters count="1">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8" rowHeaderCaption="Iphone model" colHeaderCaption="Iphone model">
  <location ref="G3:I10" firstHeaderRow="0" firstDataRow="1" firstDataCol="1"/>
  <pivotFields count="13">
    <pivotField showAll="0"/>
    <pivotField showAll="0"/>
    <pivotField showAll="0">
      <items count="7">
        <item x="1"/>
        <item x="3"/>
        <item x="5"/>
        <item x="2"/>
        <item x="4"/>
        <item x="0"/>
        <item t="default"/>
      </items>
    </pivotField>
    <pivotField axis="axisRow" showAll="0">
      <items count="7">
        <item x="1"/>
        <item x="0"/>
        <item x="5"/>
        <item x="4"/>
        <item x="3"/>
        <item x="2"/>
        <item t="default"/>
      </items>
    </pivotField>
    <pivotField showAll="0"/>
    <pivotField showAll="0">
      <items count="6">
        <item x="2"/>
        <item x="1"/>
        <item x="0"/>
        <item x="3"/>
        <item x="4"/>
        <item t="default"/>
      </items>
    </pivotField>
    <pivotField dataField="1" showAll="0"/>
    <pivotField dataField="1" showAll="0"/>
    <pivotField numFmtId="14" showAll="0">
      <items count="66">
        <item x="22"/>
        <item x="30"/>
        <item x="47"/>
        <item x="62"/>
        <item x="64"/>
        <item x="50"/>
        <item x="37"/>
        <item x="35"/>
        <item x="49"/>
        <item x="54"/>
        <item x="13"/>
        <item x="24"/>
        <item x="34"/>
        <item x="39"/>
        <item x="23"/>
        <item x="2"/>
        <item x="14"/>
        <item x="10"/>
        <item x="25"/>
        <item x="4"/>
        <item x="59"/>
        <item x="28"/>
        <item x="51"/>
        <item x="63"/>
        <item x="61"/>
        <item x="55"/>
        <item x="6"/>
        <item x="5"/>
        <item x="60"/>
        <item x="12"/>
        <item x="45"/>
        <item x="56"/>
        <item x="9"/>
        <item x="40"/>
        <item x="1"/>
        <item x="8"/>
        <item x="57"/>
        <item x="27"/>
        <item x="19"/>
        <item x="17"/>
        <item x="29"/>
        <item x="20"/>
        <item x="3"/>
        <item x="11"/>
        <item x="26"/>
        <item x="18"/>
        <item x="38"/>
        <item x="7"/>
        <item x="31"/>
        <item x="15"/>
        <item x="46"/>
        <item x="58"/>
        <item x="32"/>
        <item x="42"/>
        <item x="43"/>
        <item x="53"/>
        <item x="44"/>
        <item x="33"/>
        <item x="36"/>
        <item x="21"/>
        <item x="48"/>
        <item x="41"/>
        <item x="52"/>
        <item x="1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Price" fld="7" baseField="0" baseItem="0" numFmtId="165"/>
    <dataField name="Sum of Quantity" fld="6" baseField="0" baseItem="0"/>
  </dataFields>
  <chartFormats count="4">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C78E94C-3BE1-4613-86F4-5BCD56AA8E56}" sourceName="Country">
  <pivotTables>
    <pivotTable tabId="5" name="PivotTable12"/>
    <pivotTable tabId="5" name="PivotTable1"/>
    <pivotTable tabId="5" name="PivotTable10"/>
    <pivotTable tabId="5" name="PivotTable11"/>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3"/>
    <pivotTable tabId="5" name="PivotTable3"/>
    <pivotTable tabId="5" name="PivotTable4"/>
    <pivotTable tabId="5" name="PivotTable5"/>
    <pivotTable tabId="5" name="PivotTable6"/>
    <pivotTable tabId="5" name="PivotTable7"/>
    <pivotTable tabId="5" name="PivotTable8"/>
    <pivotTable tabId="5" name="PivotTable9"/>
  </pivotTables>
  <data>
    <tabular pivotCacheId="987409479">
      <items count="6">
        <i x="1" s="1"/>
        <i x="3" s="1"/>
        <i x="5"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hone_Model" xr10:uid="{24833833-DDB8-4DB0-BFCA-2FA850F357D6}" sourceName="iPhone_Model">
  <pivotTables>
    <pivotTable tabId="5" name="PivotTable12"/>
    <pivotTable tabId="5" name="PivotTable1"/>
    <pivotTable tabId="5" name="PivotTable10"/>
    <pivotTable tabId="5" name="PivotTable11"/>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3"/>
    <pivotTable tabId="5" name="PivotTable3"/>
    <pivotTable tabId="5" name="PivotTable4"/>
    <pivotTable tabId="5" name="PivotTable5"/>
    <pivotTable tabId="5" name="PivotTable6"/>
    <pivotTable tabId="5" name="PivotTable7"/>
    <pivotTable tabId="5" name="PivotTable8"/>
    <pivotTable tabId="5" name="PivotTable9"/>
  </pivotTables>
  <data>
    <tabular pivotCacheId="987409479">
      <items count="6">
        <i x="1" s="1"/>
        <i x="0" s="1"/>
        <i x="5"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E2770609-F483-401A-9EED-E3C13CEA8843}" sourceName="Color">
  <pivotTables>
    <pivotTable tabId="5" name="PivotTable12"/>
    <pivotTable tabId="5" name="PivotTable1"/>
    <pivotTable tabId="5" name="PivotTable10"/>
    <pivotTable tabId="5" name="PivotTable11"/>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3"/>
    <pivotTable tabId="5" name="PivotTable3"/>
    <pivotTable tabId="5" name="PivotTable4"/>
    <pivotTable tabId="5" name="PivotTable5"/>
    <pivotTable tabId="5" name="PivotTable6"/>
    <pivotTable tabId="5" name="PivotTable7"/>
    <pivotTable tabId="5" name="PivotTable8"/>
    <pivotTable tabId="5" name="PivotTable9"/>
  </pivotTables>
  <data>
    <tabular pivotCacheId="987409479">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70F524F-5B46-4D32-AC7B-EC91A8838602}" cache="Slicer_Country" caption="Country" style="SlicerStyleLight6" rowHeight="257175"/>
  <slicer name="iPhone_Model" xr10:uid="{2F9AF240-569B-41DD-AD93-C10313E732BF}" cache="Slicer_iPhone_Model" caption="iPhone_Model" style="SlicerStyleLight6" rowHeight="257175"/>
  <slicer name="Color" xr10:uid="{037635C7-2C81-4E31-83BE-91EAE761DC10}" cache="Slicer_Color" caption="Color"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 displayName="Table6" ref="A3:K22" totalsRowShown="0">
  <autoFilter ref="A3:K22" xr:uid="{00000000-0009-0000-0100-000006000000}"/>
  <tableColumns count="11">
    <tableColumn id="1" xr3:uid="{00000000-0010-0000-0000-000001000000}" name="Order_ID"/>
    <tableColumn id="2" xr3:uid="{00000000-0010-0000-0000-000002000000}" name="Customer_Name"/>
    <tableColumn id="3" xr3:uid="{00000000-0010-0000-0000-000003000000}" name="Country"/>
    <tableColumn id="4" xr3:uid="{00000000-0010-0000-0000-000004000000}" name="iPhone_Model"/>
    <tableColumn id="5" xr3:uid="{00000000-0010-0000-0000-000005000000}" name="Storage"/>
    <tableColumn id="6" xr3:uid="{00000000-0010-0000-0000-000006000000}" name="Color"/>
    <tableColumn id="7" xr3:uid="{00000000-0010-0000-0000-000007000000}" name="Quantity"/>
    <tableColumn id="8" xr3:uid="{00000000-0010-0000-0000-000008000000}" name="Price"/>
    <tableColumn id="9" xr3:uid="{00000000-0010-0000-0000-000009000000}" name="Sale_Date" dataDxfId="21"/>
    <tableColumn id="10" xr3:uid="{00000000-0010-0000-0000-00000A000000}" name="Payment_Method"/>
    <tableColumn id="11" xr3:uid="{00000000-0010-0000-0000-00000B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TABLE" displayName="PTABLE" ref="A1:K101" totalsRowShown="0">
  <autoFilter ref="A1:K101" xr:uid="{00000000-0009-0000-0100-000001000000}"/>
  <tableColumns count="11">
    <tableColumn id="1" xr3:uid="{00000000-0010-0000-0100-000001000000}" name="Order_ID"/>
    <tableColumn id="2" xr3:uid="{00000000-0010-0000-0100-000002000000}" name="Customer_Name"/>
    <tableColumn id="3" xr3:uid="{00000000-0010-0000-0100-000003000000}" name="Country"/>
    <tableColumn id="4" xr3:uid="{00000000-0010-0000-0100-000004000000}" name="iPhone_Model"/>
    <tableColumn id="5" xr3:uid="{00000000-0010-0000-0100-000005000000}" name="Storage"/>
    <tableColumn id="6" xr3:uid="{00000000-0010-0000-0100-000006000000}" name="Color"/>
    <tableColumn id="7" xr3:uid="{00000000-0010-0000-0100-000007000000}" name="Quantity"/>
    <tableColumn id="8" xr3:uid="{00000000-0010-0000-0100-000008000000}" name="Price" dataDxfId="15"/>
    <tableColumn id="9" xr3:uid="{00000000-0010-0000-0100-000009000000}" name="Sale_Date" dataDxfId="14"/>
    <tableColumn id="10" xr3:uid="{00000000-0010-0000-0100-00000A000000}" name="Payment_Method"/>
    <tableColumn id="11" xr3:uid="{00000000-0010-0000-0100-00000B000000}" name="Month of sales" dataDxfId="13">
      <calculatedColumnFormula>TEXT(PTABLE[[#This Row],[Sale_Date]],"MMM")</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Y2:AA10" totalsRowShown="0">
  <autoFilter ref="Y2:AA10" xr:uid="{00000000-0009-0000-0100-000002000000}"/>
  <tableColumns count="3">
    <tableColumn id="1" xr3:uid="{00000000-0010-0000-0200-000001000000}" name="MONTH"/>
    <tableColumn id="2" xr3:uid="{00000000-0010-0000-0200-000002000000}" name="QUANTITY"/>
    <tableColumn id="3" xr3:uid="{00000000-0010-0000-0200-000003000000}" name="PRICE" dataDxfId="1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S2:U10" totalsRowShown="0">
  <autoFilter ref="S2:U10" xr:uid="{00000000-0009-0000-0100-000003000000}"/>
  <tableColumns count="3">
    <tableColumn id="1" xr3:uid="{00000000-0010-0000-0300-000001000000}" name="Color"/>
    <tableColumn id="2" xr3:uid="{00000000-0010-0000-0300-000002000000}" name="QUANTITY SOLD"/>
    <tableColumn id="3" xr3:uid="{00000000-0010-0000-0300-000003000000}" name="PRICE" dataDxfId="1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M2:O11" totalsRowShown="0">
  <autoFilter ref="M2:O11" xr:uid="{00000000-0009-0000-0100-000004000000}"/>
  <tableColumns count="3">
    <tableColumn id="1" xr3:uid="{00000000-0010-0000-0400-000001000000}" name="iPhone_Model"/>
    <tableColumn id="2" xr3:uid="{00000000-0010-0000-0400-000002000000}" name="QUANTITY SOLD"/>
    <tableColumn id="3" xr3:uid="{00000000-0010-0000-0400-000003000000}" name="TOTAL PRICE PER PRODUCT" dataDxfId="10"/>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2:I12" totalsRowShown="0">
  <autoFilter ref="A2:I12" xr:uid="{00000000-0009-0000-0100-000005000000}"/>
  <tableColumns count="9">
    <tableColumn id="1" xr3:uid="{00000000-0010-0000-0500-000001000000}" name="Country"/>
    <tableColumn id="2" xr3:uid="{00000000-0010-0000-0500-000002000000}" name="iPhone 12"/>
    <tableColumn id="3" xr3:uid="{00000000-0010-0000-0500-000003000000}" name="iPhone 13"/>
    <tableColumn id="4" xr3:uid="{00000000-0010-0000-0500-000004000000}" name="iPhone 14"/>
    <tableColumn id="5" xr3:uid="{00000000-0010-0000-0500-000005000000}" name="iPhone 14 Pro"/>
    <tableColumn id="6" xr3:uid="{00000000-0010-0000-0500-000006000000}" name="iPhone 15"/>
    <tableColumn id="7" xr3:uid="{00000000-0010-0000-0500-000007000000}" name="iPhone 15 Pro Max"/>
    <tableColumn id="8" xr3:uid="{00000000-0010-0000-0500-000008000000}" name="TOTAL"/>
    <tableColumn id="9" xr3:uid="{00000000-0010-0000-0500-000009000000}" name="MODEL BOUGHT MOST IN EACH COUNTRY"/>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8:H24" totalsRowShown="0" headerRowDxfId="9" dataDxfId="8">
  <autoFilter ref="A18:H24" xr:uid="{00000000-0009-0000-0100-000007000000}"/>
  <tableColumns count="8">
    <tableColumn id="1" xr3:uid="{00000000-0010-0000-0600-000001000000}" name="Colour" dataDxfId="7"/>
    <tableColumn id="2" xr3:uid="{00000000-0010-0000-0600-000002000000}" name="iPhone 12" dataDxfId="6"/>
    <tableColumn id="3" xr3:uid="{00000000-0010-0000-0600-000003000000}" name="iPhone 13" dataDxfId="5"/>
    <tableColumn id="4" xr3:uid="{00000000-0010-0000-0600-000004000000}" name="iPhone 14" dataDxfId="4"/>
    <tableColumn id="5" xr3:uid="{00000000-0010-0000-0600-000005000000}" name="iPhone 14 Pro" dataDxfId="3"/>
    <tableColumn id="6" xr3:uid="{00000000-0010-0000-0600-000006000000}" name="iPhone 15" dataDxfId="2"/>
    <tableColumn id="7" xr3:uid="{00000000-0010-0000-0600-000007000000}" name="iPhone 15 Pro Max" dataDxfId="1"/>
    <tableColumn id="8" xr3:uid="{00000000-0010-0000-0600-000008000000}" name="Total" dataDxfId="0"/>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N18:Q26" totalsRowShown="0">
  <autoFilter ref="N18:Q26" xr:uid="{00000000-0009-0000-0100-000008000000}"/>
  <tableColumns count="4">
    <tableColumn id="1" xr3:uid="{00000000-0010-0000-0700-000001000000}" name="IPHONE MODEL"/>
    <tableColumn id="2" xr3:uid="{00000000-0010-0000-0700-000002000000}" name="128GB"/>
    <tableColumn id="3" xr3:uid="{00000000-0010-0000-0700-000003000000}" name="256GB"/>
    <tableColumn id="4" xr3:uid="{00000000-0010-0000-0700-000004000000}" name="512GB"/>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U18:V24" totalsRowShown="0">
  <autoFilter ref="U18:V24" xr:uid="{00000000-0009-0000-0100-00000A000000}"/>
  <tableColumns count="2">
    <tableColumn id="1" xr3:uid="{00000000-0010-0000-0800-000001000000}" name="Payment_Method"/>
    <tableColumn id="2" xr3:uid="{00000000-0010-0000-0800-000002000000}" name="No of times used"/>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4506668294322"/>
  </sheetPr>
  <dimension ref="A1:K22"/>
  <sheetViews>
    <sheetView workbookViewId="0">
      <selection activeCell="D24" sqref="D24"/>
    </sheetView>
  </sheetViews>
  <sheetFormatPr defaultColWidth="9" defaultRowHeight="13.5" x14ac:dyDescent="0.15"/>
  <cols>
    <col min="1" max="1" width="11.25" customWidth="1"/>
    <col min="2" max="2" width="18.625" customWidth="1"/>
    <col min="3" max="3" width="10.625" customWidth="1"/>
    <col min="4" max="4" width="17.25" customWidth="1"/>
    <col min="5" max="5" width="10.125" customWidth="1"/>
    <col min="6" max="6" width="9.25" customWidth="1"/>
    <col min="7" max="7" width="11" customWidth="1"/>
    <col min="8" max="8" width="9.25" customWidth="1"/>
    <col min="9" max="9" width="12.25" customWidth="1"/>
    <col min="10" max="10" width="19" customWidth="1"/>
    <col min="11" max="11" width="9.25" customWidth="1"/>
  </cols>
  <sheetData>
    <row r="1" spans="1:11" ht="15" x14ac:dyDescent="0.25">
      <c r="A1" s="5" t="s">
        <v>0</v>
      </c>
    </row>
    <row r="3" spans="1:11" x14ac:dyDescent="0.15">
      <c r="A3" t="s">
        <v>1</v>
      </c>
      <c r="B3" t="s">
        <v>2</v>
      </c>
      <c r="C3" t="s">
        <v>3</v>
      </c>
      <c r="D3" t="s">
        <v>4</v>
      </c>
      <c r="E3" t="s">
        <v>5</v>
      </c>
      <c r="F3" t="s">
        <v>6</v>
      </c>
      <c r="G3" t="s">
        <v>7</v>
      </c>
      <c r="H3" t="s">
        <v>8</v>
      </c>
      <c r="I3" t="s">
        <v>9</v>
      </c>
      <c r="J3" t="s">
        <v>10</v>
      </c>
      <c r="K3" t="s">
        <v>11</v>
      </c>
    </row>
    <row r="4" spans="1:11" x14ac:dyDescent="0.15">
      <c r="A4">
        <v>1088</v>
      </c>
      <c r="B4" t="s">
        <v>12</v>
      </c>
      <c r="C4" t="s">
        <v>13</v>
      </c>
      <c r="D4" t="s">
        <v>14</v>
      </c>
      <c r="E4" t="s">
        <v>15</v>
      </c>
      <c r="F4" t="s">
        <v>16</v>
      </c>
      <c r="G4">
        <v>5</v>
      </c>
      <c r="H4">
        <v>718</v>
      </c>
      <c r="I4" s="2">
        <v>45692</v>
      </c>
      <c r="J4" t="s">
        <v>17</v>
      </c>
      <c r="K4" t="s">
        <v>18</v>
      </c>
    </row>
    <row r="5" spans="1:11" x14ac:dyDescent="0.15">
      <c r="A5">
        <v>1086</v>
      </c>
      <c r="B5" t="s">
        <v>19</v>
      </c>
      <c r="C5" t="s">
        <v>20</v>
      </c>
      <c r="D5" t="s">
        <v>21</v>
      </c>
      <c r="E5" t="s">
        <v>22</v>
      </c>
      <c r="F5" t="s">
        <v>23</v>
      </c>
      <c r="G5">
        <v>2</v>
      </c>
      <c r="H5">
        <v>950</v>
      </c>
      <c r="I5" s="2">
        <v>45755</v>
      </c>
      <c r="J5" t="s">
        <v>17</v>
      </c>
      <c r="K5" t="s">
        <v>24</v>
      </c>
    </row>
    <row r="6" spans="1:11" x14ac:dyDescent="0.15">
      <c r="A6">
        <v>1085</v>
      </c>
      <c r="B6" t="s">
        <v>25</v>
      </c>
      <c r="C6" t="s">
        <v>13</v>
      </c>
      <c r="D6" t="s">
        <v>21</v>
      </c>
      <c r="E6" t="s">
        <v>22</v>
      </c>
      <c r="F6" t="s">
        <v>26</v>
      </c>
      <c r="G6">
        <v>4</v>
      </c>
      <c r="H6">
        <v>1656</v>
      </c>
      <c r="I6" s="2">
        <v>45759</v>
      </c>
      <c r="J6" t="s">
        <v>17</v>
      </c>
      <c r="K6" t="s">
        <v>24</v>
      </c>
    </row>
    <row r="7" spans="1:11" x14ac:dyDescent="0.15">
      <c r="A7">
        <v>1084</v>
      </c>
      <c r="B7" t="s">
        <v>27</v>
      </c>
      <c r="C7" t="s">
        <v>20</v>
      </c>
      <c r="D7" t="s">
        <v>28</v>
      </c>
      <c r="E7" t="s">
        <v>22</v>
      </c>
      <c r="F7" t="s">
        <v>29</v>
      </c>
      <c r="G7">
        <v>5</v>
      </c>
      <c r="H7">
        <v>1229</v>
      </c>
      <c r="I7" s="2">
        <v>45738</v>
      </c>
      <c r="J7" t="s">
        <v>17</v>
      </c>
      <c r="K7" t="s">
        <v>30</v>
      </c>
    </row>
    <row r="8" spans="1:11" x14ac:dyDescent="0.15">
      <c r="A8">
        <v>1083</v>
      </c>
      <c r="B8" t="s">
        <v>31</v>
      </c>
      <c r="C8" t="s">
        <v>13</v>
      </c>
      <c r="D8" t="s">
        <v>32</v>
      </c>
      <c r="E8" t="s">
        <v>33</v>
      </c>
      <c r="F8" t="s">
        <v>26</v>
      </c>
      <c r="G8">
        <v>3</v>
      </c>
      <c r="H8">
        <v>1165</v>
      </c>
      <c r="I8" s="2">
        <v>45724</v>
      </c>
      <c r="J8" t="s">
        <v>17</v>
      </c>
      <c r="K8" t="s">
        <v>30</v>
      </c>
    </row>
    <row r="9" spans="1:11" x14ac:dyDescent="0.15">
      <c r="A9">
        <v>1078</v>
      </c>
      <c r="B9" t="s">
        <v>34</v>
      </c>
      <c r="C9" t="s">
        <v>35</v>
      </c>
      <c r="D9" t="s">
        <v>28</v>
      </c>
      <c r="E9" t="s">
        <v>33</v>
      </c>
      <c r="F9" t="s">
        <v>16</v>
      </c>
      <c r="G9">
        <v>4</v>
      </c>
      <c r="H9">
        <v>1464</v>
      </c>
      <c r="I9" s="2">
        <v>45672</v>
      </c>
      <c r="J9" t="s">
        <v>17</v>
      </c>
      <c r="K9" t="s">
        <v>36</v>
      </c>
    </row>
    <row r="10" spans="1:11" x14ac:dyDescent="0.15">
      <c r="A10">
        <v>1076</v>
      </c>
      <c r="B10" t="s">
        <v>37</v>
      </c>
      <c r="C10" t="s">
        <v>13</v>
      </c>
      <c r="D10" t="s">
        <v>32</v>
      </c>
      <c r="E10" t="s">
        <v>22</v>
      </c>
      <c r="F10" t="s">
        <v>29</v>
      </c>
      <c r="G10">
        <v>5</v>
      </c>
      <c r="H10">
        <v>1923</v>
      </c>
      <c r="I10" s="2">
        <v>45759</v>
      </c>
      <c r="J10" t="s">
        <v>17</v>
      </c>
      <c r="K10" t="s">
        <v>24</v>
      </c>
    </row>
    <row r="11" spans="1:11" x14ac:dyDescent="0.15">
      <c r="A11">
        <v>1075</v>
      </c>
      <c r="B11" t="s">
        <v>38</v>
      </c>
      <c r="C11" t="s">
        <v>20</v>
      </c>
      <c r="D11" t="s">
        <v>39</v>
      </c>
      <c r="E11" t="s">
        <v>15</v>
      </c>
      <c r="F11" t="s">
        <v>40</v>
      </c>
      <c r="G11">
        <v>4</v>
      </c>
      <c r="H11">
        <v>1547</v>
      </c>
      <c r="I11" s="2">
        <v>45667</v>
      </c>
      <c r="J11" t="s">
        <v>17</v>
      </c>
      <c r="K11" t="s">
        <v>36</v>
      </c>
    </row>
    <row r="12" spans="1:11" x14ac:dyDescent="0.15">
      <c r="A12">
        <v>1073</v>
      </c>
      <c r="B12" t="s">
        <v>41</v>
      </c>
      <c r="C12" t="s">
        <v>42</v>
      </c>
      <c r="D12" t="s">
        <v>32</v>
      </c>
      <c r="E12" t="s">
        <v>33</v>
      </c>
      <c r="F12" t="s">
        <v>29</v>
      </c>
      <c r="G12">
        <v>2</v>
      </c>
      <c r="H12">
        <v>1629</v>
      </c>
      <c r="I12" s="2">
        <v>45685</v>
      </c>
      <c r="J12" t="s">
        <v>17</v>
      </c>
      <c r="K12" t="s">
        <v>36</v>
      </c>
    </row>
    <row r="13" spans="1:11" x14ac:dyDescent="0.15">
      <c r="A13">
        <v>1071</v>
      </c>
      <c r="B13" t="s">
        <v>43</v>
      </c>
      <c r="C13" t="s">
        <v>13</v>
      </c>
      <c r="D13" t="s">
        <v>21</v>
      </c>
      <c r="E13" t="s">
        <v>15</v>
      </c>
      <c r="F13" t="s">
        <v>16</v>
      </c>
      <c r="G13">
        <v>2</v>
      </c>
      <c r="H13">
        <v>1977</v>
      </c>
      <c r="I13" s="2">
        <v>45667</v>
      </c>
      <c r="J13" t="s">
        <v>17</v>
      </c>
      <c r="K13" t="s">
        <v>36</v>
      </c>
    </row>
    <row r="14" spans="1:11" x14ac:dyDescent="0.15">
      <c r="A14">
        <v>1064</v>
      </c>
      <c r="B14" t="s">
        <v>44</v>
      </c>
      <c r="C14" t="s">
        <v>13</v>
      </c>
      <c r="D14" t="s">
        <v>14</v>
      </c>
      <c r="E14" t="s">
        <v>15</v>
      </c>
      <c r="F14" t="s">
        <v>29</v>
      </c>
      <c r="G14">
        <v>2</v>
      </c>
      <c r="H14">
        <v>1991</v>
      </c>
      <c r="I14" s="2">
        <v>45685</v>
      </c>
      <c r="J14" t="s">
        <v>17</v>
      </c>
      <c r="K14" t="s">
        <v>36</v>
      </c>
    </row>
    <row r="15" spans="1:11" x14ac:dyDescent="0.15">
      <c r="A15">
        <v>1012</v>
      </c>
      <c r="B15" t="s">
        <v>45</v>
      </c>
      <c r="C15" t="s">
        <v>42</v>
      </c>
      <c r="D15" t="s">
        <v>39</v>
      </c>
      <c r="E15" t="s">
        <v>33</v>
      </c>
      <c r="F15" t="s">
        <v>23</v>
      </c>
      <c r="G15">
        <v>3</v>
      </c>
      <c r="H15">
        <v>1572</v>
      </c>
      <c r="I15" s="2">
        <v>45741</v>
      </c>
      <c r="J15" t="s">
        <v>17</v>
      </c>
      <c r="K15" t="s">
        <v>30</v>
      </c>
    </row>
    <row r="16" spans="1:11" x14ac:dyDescent="0.15">
      <c r="A16">
        <v>1050</v>
      </c>
      <c r="B16" t="s">
        <v>46</v>
      </c>
      <c r="C16" t="s">
        <v>47</v>
      </c>
      <c r="D16" t="s">
        <v>32</v>
      </c>
      <c r="E16" t="s">
        <v>33</v>
      </c>
      <c r="F16" t="s">
        <v>40</v>
      </c>
      <c r="G16">
        <v>1</v>
      </c>
      <c r="H16">
        <v>733</v>
      </c>
      <c r="I16" s="2">
        <v>45669</v>
      </c>
      <c r="J16" t="s">
        <v>17</v>
      </c>
      <c r="K16" t="s">
        <v>36</v>
      </c>
    </row>
    <row r="17" spans="1:11" x14ac:dyDescent="0.15">
      <c r="A17">
        <v>1048</v>
      </c>
      <c r="B17" t="s">
        <v>48</v>
      </c>
      <c r="C17" t="s">
        <v>42</v>
      </c>
      <c r="D17" t="s">
        <v>39</v>
      </c>
      <c r="E17" t="s">
        <v>22</v>
      </c>
      <c r="F17" t="s">
        <v>23</v>
      </c>
      <c r="G17">
        <v>5</v>
      </c>
      <c r="H17">
        <v>1786</v>
      </c>
      <c r="I17" s="2">
        <v>45744</v>
      </c>
      <c r="J17" t="s">
        <v>17</v>
      </c>
      <c r="K17" t="s">
        <v>30</v>
      </c>
    </row>
    <row r="18" spans="1:11" x14ac:dyDescent="0.15">
      <c r="A18">
        <v>1035</v>
      </c>
      <c r="B18" t="s">
        <v>49</v>
      </c>
      <c r="C18" t="s">
        <v>47</v>
      </c>
      <c r="D18" t="s">
        <v>32</v>
      </c>
      <c r="E18" t="s">
        <v>33</v>
      </c>
      <c r="F18" t="s">
        <v>26</v>
      </c>
      <c r="G18">
        <v>5</v>
      </c>
      <c r="H18">
        <v>1793</v>
      </c>
      <c r="I18" s="2">
        <v>45659</v>
      </c>
      <c r="J18" t="s">
        <v>17</v>
      </c>
      <c r="K18" t="s">
        <v>36</v>
      </c>
    </row>
    <row r="19" spans="1:11" x14ac:dyDescent="0.15">
      <c r="A19">
        <v>1027</v>
      </c>
      <c r="B19" t="s">
        <v>50</v>
      </c>
      <c r="C19" t="s">
        <v>42</v>
      </c>
      <c r="D19" t="s">
        <v>28</v>
      </c>
      <c r="E19" t="s">
        <v>22</v>
      </c>
      <c r="F19" t="s">
        <v>26</v>
      </c>
      <c r="G19">
        <v>5</v>
      </c>
      <c r="H19">
        <v>1060</v>
      </c>
      <c r="I19" s="2">
        <v>45676</v>
      </c>
      <c r="J19" t="s">
        <v>17</v>
      </c>
      <c r="K19" t="s">
        <v>36</v>
      </c>
    </row>
    <row r="20" spans="1:11" x14ac:dyDescent="0.15">
      <c r="A20">
        <v>1024</v>
      </c>
      <c r="B20" t="s">
        <v>51</v>
      </c>
      <c r="C20" t="s">
        <v>13</v>
      </c>
      <c r="D20" t="s">
        <v>52</v>
      </c>
      <c r="E20" t="s">
        <v>22</v>
      </c>
      <c r="F20" t="s">
        <v>26</v>
      </c>
      <c r="G20">
        <v>4</v>
      </c>
      <c r="H20">
        <v>817</v>
      </c>
      <c r="I20" s="2">
        <v>45658</v>
      </c>
      <c r="J20" t="s">
        <v>17</v>
      </c>
      <c r="K20" t="s">
        <v>36</v>
      </c>
    </row>
    <row r="21" spans="1:11" x14ac:dyDescent="0.15">
      <c r="A21">
        <v>1023</v>
      </c>
      <c r="B21" t="s">
        <v>53</v>
      </c>
      <c r="C21" t="s">
        <v>42</v>
      </c>
      <c r="D21" t="s">
        <v>52</v>
      </c>
      <c r="E21" t="s">
        <v>33</v>
      </c>
      <c r="F21" t="s">
        <v>29</v>
      </c>
      <c r="G21">
        <v>5</v>
      </c>
      <c r="H21">
        <v>1964</v>
      </c>
      <c r="I21" s="2">
        <v>45766</v>
      </c>
      <c r="J21" t="s">
        <v>17</v>
      </c>
      <c r="K21" t="s">
        <v>24</v>
      </c>
    </row>
    <row r="22" spans="1:11" x14ac:dyDescent="0.15">
      <c r="A22">
        <v>1021</v>
      </c>
      <c r="B22" t="s">
        <v>54</v>
      </c>
      <c r="C22" t="s">
        <v>35</v>
      </c>
      <c r="D22" t="s">
        <v>52</v>
      </c>
      <c r="E22" t="s">
        <v>22</v>
      </c>
      <c r="F22" t="s">
        <v>29</v>
      </c>
      <c r="G22">
        <v>3</v>
      </c>
      <c r="H22">
        <v>742</v>
      </c>
      <c r="I22" s="2">
        <v>45728</v>
      </c>
      <c r="J22" t="s">
        <v>17</v>
      </c>
      <c r="K22"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2:O18"/>
  <sheetViews>
    <sheetView topLeftCell="G1" zoomScaleNormal="100" workbookViewId="0">
      <selection activeCell="R35" sqref="R35"/>
    </sheetView>
  </sheetViews>
  <sheetFormatPr defaultColWidth="9" defaultRowHeight="13.5" x14ac:dyDescent="0.15"/>
  <sheetData>
    <row r="2" spans="2:15" x14ac:dyDescent="0.15">
      <c r="B2" s="18"/>
      <c r="C2" s="18"/>
      <c r="D2" s="18"/>
      <c r="E2" s="18"/>
      <c r="F2" s="18"/>
      <c r="G2" s="18"/>
      <c r="J2" s="18"/>
      <c r="K2" s="18"/>
      <c r="L2" s="18"/>
      <c r="M2" s="18"/>
      <c r="N2" s="18"/>
      <c r="O2" s="18"/>
    </row>
    <row r="18" spans="11:15" x14ac:dyDescent="0.15">
      <c r="K18" s="18"/>
      <c r="L18" s="18"/>
      <c r="M18" s="18"/>
      <c r="N18" s="18"/>
      <c r="O18" s="18"/>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4506668294322"/>
  </sheetPr>
  <dimension ref="A2:Y52"/>
  <sheetViews>
    <sheetView tabSelected="1" workbookViewId="0"/>
  </sheetViews>
  <sheetFormatPr defaultColWidth="9" defaultRowHeight="13.5" x14ac:dyDescent="0.15"/>
  <cols>
    <col min="1" max="1" width="9.875" bestFit="1" customWidth="1"/>
    <col min="2" max="2" width="13.625" bestFit="1" customWidth="1"/>
    <col min="3" max="3" width="10.75" bestFit="1" customWidth="1"/>
    <col min="4" max="4" width="34.75" bestFit="1" customWidth="1"/>
    <col min="5" max="5" width="54.25" bestFit="1" customWidth="1"/>
    <col min="6" max="7" width="8.5" bestFit="1" customWidth="1"/>
    <col min="8" max="8" width="10.875" bestFit="1" customWidth="1"/>
    <col min="9" max="9" width="23.25" bestFit="1" customWidth="1"/>
    <col min="10" max="10" width="9.875" bestFit="1" customWidth="1"/>
    <col min="11" max="11" width="13.625" bestFit="1" customWidth="1"/>
    <col min="12" max="12" width="15.125" bestFit="1" customWidth="1"/>
    <col min="13" max="13" width="11.5" bestFit="1" customWidth="1"/>
    <col min="14" max="14" width="9.875" bestFit="1" customWidth="1"/>
    <col min="15" max="15" width="15" bestFit="1" customWidth="1"/>
    <col min="16" max="16" width="18.125" bestFit="1" customWidth="1"/>
    <col min="17" max="17" width="8.875" bestFit="1" customWidth="1"/>
    <col min="18" max="19" width="5.75" bestFit="1" customWidth="1"/>
    <col min="20" max="21" width="9.875" bestFit="1" customWidth="1"/>
    <col min="23" max="23" width="14" bestFit="1" customWidth="1"/>
    <col min="24" max="24" width="10.875" bestFit="1" customWidth="1"/>
    <col min="25" max="25" width="13.625" bestFit="1" customWidth="1"/>
  </cols>
  <sheetData>
    <row r="2" spans="1:25" ht="15" x14ac:dyDescent="0.25">
      <c r="A2" s="3" t="s">
        <v>55</v>
      </c>
      <c r="B2" s="3"/>
      <c r="D2" s="13" t="s">
        <v>194</v>
      </c>
      <c r="E2" s="3"/>
      <c r="G2" s="3" t="s">
        <v>56</v>
      </c>
      <c r="H2" s="3"/>
      <c r="I2" s="3"/>
      <c r="K2" s="3" t="s">
        <v>57</v>
      </c>
      <c r="L2" s="3"/>
      <c r="M2" s="3"/>
      <c r="P2" s="3" t="s">
        <v>58</v>
      </c>
      <c r="Q2" s="3"/>
      <c r="R2" s="3"/>
      <c r="S2" s="3"/>
      <c r="W2" s="16" t="s">
        <v>199</v>
      </c>
      <c r="X2" s="12"/>
      <c r="Y2" s="12"/>
    </row>
    <row r="3" spans="1:25" x14ac:dyDescent="0.15">
      <c r="A3" s="8" t="s">
        <v>59</v>
      </c>
      <c r="B3" t="s">
        <v>60</v>
      </c>
      <c r="D3" s="8" t="s">
        <v>59</v>
      </c>
      <c r="E3" t="s">
        <v>61</v>
      </c>
      <c r="G3" s="8" t="s">
        <v>59</v>
      </c>
      <c r="H3" t="s">
        <v>61</v>
      </c>
      <c r="I3" t="s">
        <v>60</v>
      </c>
      <c r="K3" s="8" t="s">
        <v>59</v>
      </c>
      <c r="L3" t="s">
        <v>62</v>
      </c>
      <c r="M3" t="s">
        <v>63</v>
      </c>
      <c r="P3" s="8" t="s">
        <v>63</v>
      </c>
      <c r="Q3" s="8" t="s">
        <v>5</v>
      </c>
      <c r="W3" s="8" t="s">
        <v>59</v>
      </c>
      <c r="X3" t="s">
        <v>61</v>
      </c>
    </row>
    <row r="4" spans="1:25" x14ac:dyDescent="0.15">
      <c r="A4" s="4" t="s">
        <v>14</v>
      </c>
      <c r="B4">
        <v>73</v>
      </c>
      <c r="D4" s="4" t="s">
        <v>32</v>
      </c>
      <c r="E4" s="14">
        <v>36612</v>
      </c>
      <c r="G4" s="4" t="s">
        <v>21</v>
      </c>
      <c r="H4" s="14">
        <v>19364</v>
      </c>
      <c r="I4">
        <v>42</v>
      </c>
      <c r="K4" s="4" t="s">
        <v>21</v>
      </c>
      <c r="L4">
        <v>13</v>
      </c>
      <c r="M4">
        <v>13</v>
      </c>
      <c r="P4" s="8" t="s">
        <v>59</v>
      </c>
      <c r="Q4" t="s">
        <v>33</v>
      </c>
      <c r="R4" t="s">
        <v>22</v>
      </c>
      <c r="S4" t="s">
        <v>15</v>
      </c>
      <c r="T4" t="s">
        <v>64</v>
      </c>
      <c r="W4" s="4" t="s">
        <v>32</v>
      </c>
      <c r="X4" s="14">
        <v>36612</v>
      </c>
    </row>
    <row r="5" spans="1:25" x14ac:dyDescent="0.15">
      <c r="A5" s="4" t="s">
        <v>32</v>
      </c>
      <c r="B5">
        <v>66</v>
      </c>
      <c r="D5" s="4" t="s">
        <v>14</v>
      </c>
      <c r="E5" s="14">
        <v>30366</v>
      </c>
      <c r="G5" s="4" t="s">
        <v>28</v>
      </c>
      <c r="H5" s="14">
        <v>21017</v>
      </c>
      <c r="I5">
        <v>59</v>
      </c>
      <c r="K5" s="4" t="s">
        <v>28</v>
      </c>
      <c r="L5">
        <v>14</v>
      </c>
      <c r="M5">
        <v>14</v>
      </c>
      <c r="P5" s="4" t="s">
        <v>21</v>
      </c>
      <c r="Q5">
        <v>2</v>
      </c>
      <c r="R5">
        <v>6</v>
      </c>
      <c r="S5">
        <v>5</v>
      </c>
      <c r="T5">
        <v>13</v>
      </c>
      <c r="W5" s="4" t="s">
        <v>64</v>
      </c>
      <c r="X5" s="14">
        <v>36612</v>
      </c>
    </row>
    <row r="6" spans="1:25" x14ac:dyDescent="0.15">
      <c r="A6" s="4" t="s">
        <v>28</v>
      </c>
      <c r="B6">
        <v>59</v>
      </c>
      <c r="D6" s="4" t="s">
        <v>52</v>
      </c>
      <c r="E6" s="14">
        <v>22608</v>
      </c>
      <c r="G6" s="4" t="s">
        <v>39</v>
      </c>
      <c r="H6" s="14">
        <v>16908</v>
      </c>
      <c r="I6">
        <v>36</v>
      </c>
      <c r="K6" s="4" t="s">
        <v>39</v>
      </c>
      <c r="L6">
        <v>11</v>
      </c>
      <c r="M6">
        <v>11</v>
      </c>
      <c r="P6" s="4" t="s">
        <v>28</v>
      </c>
      <c r="Q6">
        <v>4</v>
      </c>
      <c r="R6">
        <v>8</v>
      </c>
      <c r="S6">
        <v>2</v>
      </c>
      <c r="T6">
        <v>14</v>
      </c>
    </row>
    <row r="7" spans="1:25" x14ac:dyDescent="0.15">
      <c r="A7" s="4" t="s">
        <v>52</v>
      </c>
      <c r="B7">
        <v>57</v>
      </c>
      <c r="D7" s="4" t="s">
        <v>28</v>
      </c>
      <c r="E7" s="14">
        <v>21017</v>
      </c>
      <c r="G7" s="4" t="s">
        <v>32</v>
      </c>
      <c r="H7" s="14">
        <v>36612</v>
      </c>
      <c r="I7">
        <v>66</v>
      </c>
      <c r="K7" s="4" t="s">
        <v>32</v>
      </c>
      <c r="L7">
        <v>24</v>
      </c>
      <c r="M7">
        <v>24</v>
      </c>
      <c r="P7" s="4" t="s">
        <v>39</v>
      </c>
      <c r="Q7">
        <v>4</v>
      </c>
      <c r="R7">
        <v>4</v>
      </c>
      <c r="S7">
        <v>3</v>
      </c>
      <c r="T7">
        <v>11</v>
      </c>
    </row>
    <row r="8" spans="1:25" x14ac:dyDescent="0.15">
      <c r="A8" s="4" t="s">
        <v>21</v>
      </c>
      <c r="B8">
        <v>42</v>
      </c>
      <c r="D8" s="4" t="s">
        <v>21</v>
      </c>
      <c r="E8" s="14">
        <v>19364</v>
      </c>
      <c r="G8" s="4" t="s">
        <v>52</v>
      </c>
      <c r="H8" s="14">
        <v>22608</v>
      </c>
      <c r="I8">
        <v>57</v>
      </c>
      <c r="K8" s="4" t="s">
        <v>52</v>
      </c>
      <c r="L8">
        <v>16</v>
      </c>
      <c r="M8">
        <v>16</v>
      </c>
      <c r="P8" s="4" t="s">
        <v>32</v>
      </c>
      <c r="Q8">
        <v>12</v>
      </c>
      <c r="R8">
        <v>7</v>
      </c>
      <c r="S8">
        <v>5</v>
      </c>
      <c r="T8">
        <v>24</v>
      </c>
    </row>
    <row r="9" spans="1:25" x14ac:dyDescent="0.15">
      <c r="A9" s="4" t="s">
        <v>39</v>
      </c>
      <c r="B9">
        <v>36</v>
      </c>
      <c r="D9" s="4" t="s">
        <v>39</v>
      </c>
      <c r="E9" s="14">
        <v>16908</v>
      </c>
      <c r="G9" s="4" t="s">
        <v>14</v>
      </c>
      <c r="H9" s="14">
        <v>30366</v>
      </c>
      <c r="I9">
        <v>73</v>
      </c>
      <c r="K9" s="4" t="s">
        <v>14</v>
      </c>
      <c r="L9">
        <v>22</v>
      </c>
      <c r="M9">
        <v>22</v>
      </c>
      <c r="P9" s="4" t="s">
        <v>52</v>
      </c>
      <c r="Q9">
        <v>7</v>
      </c>
      <c r="R9">
        <v>5</v>
      </c>
      <c r="S9">
        <v>4</v>
      </c>
      <c r="T9">
        <v>16</v>
      </c>
    </row>
    <row r="10" spans="1:25" x14ac:dyDescent="0.15">
      <c r="A10" s="4" t="s">
        <v>64</v>
      </c>
      <c r="B10">
        <v>333</v>
      </c>
      <c r="D10" s="4" t="s">
        <v>64</v>
      </c>
      <c r="E10" s="14">
        <v>146875</v>
      </c>
      <c r="G10" s="4" t="s">
        <v>64</v>
      </c>
      <c r="H10" s="14">
        <v>146875</v>
      </c>
      <c r="I10">
        <v>333</v>
      </c>
      <c r="K10" s="4" t="s">
        <v>64</v>
      </c>
      <c r="L10">
        <v>100</v>
      </c>
      <c r="M10">
        <v>100</v>
      </c>
      <c r="P10" s="4" t="s">
        <v>14</v>
      </c>
      <c r="Q10">
        <v>5</v>
      </c>
      <c r="R10">
        <v>8</v>
      </c>
      <c r="S10">
        <v>9</v>
      </c>
      <c r="T10">
        <v>22</v>
      </c>
    </row>
    <row r="11" spans="1:25" x14ac:dyDescent="0.15">
      <c r="B11">
        <f>GETPIVOTDATA("Quantity",$A$3)</f>
        <v>333</v>
      </c>
      <c r="E11" s="14">
        <f>GETPIVOTDATA("Price",$D$3)</f>
        <v>146875</v>
      </c>
      <c r="P11" s="4" t="s">
        <v>64</v>
      </c>
      <c r="Q11">
        <v>34</v>
      </c>
      <c r="R11">
        <v>38</v>
      </c>
      <c r="S11">
        <v>28</v>
      </c>
      <c r="T11">
        <v>100</v>
      </c>
    </row>
    <row r="14" spans="1:25" x14ac:dyDescent="0.15">
      <c r="B14" s="3" t="s">
        <v>65</v>
      </c>
      <c r="C14" s="3"/>
      <c r="D14" s="3"/>
      <c r="E14" s="3"/>
      <c r="M14" s="3" t="s">
        <v>66</v>
      </c>
      <c r="N14" s="3"/>
      <c r="O14" s="3"/>
      <c r="P14" s="3"/>
    </row>
    <row r="15" spans="1:25" x14ac:dyDescent="0.15">
      <c r="A15" s="8" t="s">
        <v>60</v>
      </c>
      <c r="B15" s="8" t="s">
        <v>59</v>
      </c>
      <c r="K15" s="8" t="s">
        <v>60</v>
      </c>
      <c r="L15" s="8" t="s">
        <v>59</v>
      </c>
    </row>
    <row r="16" spans="1:25" x14ac:dyDescent="0.15">
      <c r="A16" s="8" t="s">
        <v>3</v>
      </c>
      <c r="B16" t="s">
        <v>14</v>
      </c>
      <c r="C16" t="s">
        <v>32</v>
      </c>
      <c r="D16" t="s">
        <v>28</v>
      </c>
      <c r="E16" t="s">
        <v>52</v>
      </c>
      <c r="F16" t="s">
        <v>21</v>
      </c>
      <c r="G16" t="s">
        <v>39</v>
      </c>
      <c r="H16" t="s">
        <v>64</v>
      </c>
      <c r="K16" s="8" t="s">
        <v>6</v>
      </c>
      <c r="L16" t="s">
        <v>14</v>
      </c>
      <c r="M16" t="s">
        <v>32</v>
      </c>
      <c r="N16" t="s">
        <v>28</v>
      </c>
      <c r="O16" t="s">
        <v>52</v>
      </c>
      <c r="P16" t="s">
        <v>21</v>
      </c>
      <c r="Q16" t="s">
        <v>39</v>
      </c>
      <c r="R16" t="s">
        <v>64</v>
      </c>
    </row>
    <row r="17" spans="1:18" x14ac:dyDescent="0.15">
      <c r="A17" s="4" t="s">
        <v>47</v>
      </c>
      <c r="B17">
        <v>11</v>
      </c>
      <c r="C17">
        <v>20</v>
      </c>
      <c r="D17">
        <v>8</v>
      </c>
      <c r="E17">
        <v>1</v>
      </c>
      <c r="F17">
        <v>1</v>
      </c>
      <c r="G17">
        <v>14</v>
      </c>
      <c r="H17">
        <v>55</v>
      </c>
      <c r="K17" s="4" t="s">
        <v>23</v>
      </c>
      <c r="L17">
        <v>9</v>
      </c>
      <c r="M17">
        <v>1</v>
      </c>
      <c r="O17">
        <v>21</v>
      </c>
      <c r="P17">
        <v>8</v>
      </c>
      <c r="Q17">
        <v>9</v>
      </c>
      <c r="R17">
        <v>48</v>
      </c>
    </row>
    <row r="18" spans="1:18" x14ac:dyDescent="0.15">
      <c r="A18" s="4" t="s">
        <v>20</v>
      </c>
      <c r="B18">
        <v>7</v>
      </c>
      <c r="C18">
        <v>9</v>
      </c>
      <c r="D18">
        <v>10</v>
      </c>
      <c r="F18">
        <v>5</v>
      </c>
      <c r="G18">
        <v>4</v>
      </c>
      <c r="H18">
        <v>35</v>
      </c>
      <c r="K18" s="4" t="s">
        <v>40</v>
      </c>
      <c r="L18">
        <v>12</v>
      </c>
      <c r="M18">
        <v>21</v>
      </c>
      <c r="N18">
        <v>4</v>
      </c>
      <c r="O18">
        <v>6</v>
      </c>
      <c r="P18">
        <v>13</v>
      </c>
      <c r="Q18">
        <v>19</v>
      </c>
      <c r="R18">
        <v>75</v>
      </c>
    </row>
    <row r="19" spans="1:18" x14ac:dyDescent="0.15">
      <c r="A19" s="4" t="s">
        <v>35</v>
      </c>
      <c r="B19">
        <v>2</v>
      </c>
      <c r="C19">
        <v>12</v>
      </c>
      <c r="D19">
        <v>9</v>
      </c>
      <c r="E19">
        <v>7</v>
      </c>
      <c r="G19">
        <v>5</v>
      </c>
      <c r="H19">
        <v>35</v>
      </c>
      <c r="K19" s="4" t="s">
        <v>16</v>
      </c>
      <c r="L19">
        <v>27</v>
      </c>
      <c r="M19">
        <v>1</v>
      </c>
      <c r="N19">
        <v>29</v>
      </c>
      <c r="O19">
        <v>10</v>
      </c>
      <c r="P19">
        <v>4</v>
      </c>
      <c r="R19">
        <v>71</v>
      </c>
    </row>
    <row r="20" spans="1:18" x14ac:dyDescent="0.15">
      <c r="A20" s="4" t="s">
        <v>67</v>
      </c>
      <c r="B20">
        <v>7</v>
      </c>
      <c r="C20">
        <v>10</v>
      </c>
      <c r="D20">
        <v>6</v>
      </c>
      <c r="E20">
        <v>15</v>
      </c>
      <c r="F20">
        <v>11</v>
      </c>
      <c r="G20">
        <v>3</v>
      </c>
      <c r="H20">
        <v>52</v>
      </c>
      <c r="K20" s="4" t="s">
        <v>29</v>
      </c>
      <c r="L20">
        <v>3</v>
      </c>
      <c r="M20">
        <v>32</v>
      </c>
      <c r="N20">
        <v>10</v>
      </c>
      <c r="O20">
        <v>15</v>
      </c>
      <c r="P20">
        <v>5</v>
      </c>
      <c r="Q20">
        <v>3</v>
      </c>
      <c r="R20">
        <v>68</v>
      </c>
    </row>
    <row r="21" spans="1:18" x14ac:dyDescent="0.15">
      <c r="A21" s="4" t="s">
        <v>13</v>
      </c>
      <c r="B21">
        <v>38</v>
      </c>
      <c r="C21">
        <v>8</v>
      </c>
      <c r="D21">
        <v>9</v>
      </c>
      <c r="E21">
        <v>14</v>
      </c>
      <c r="F21">
        <v>9</v>
      </c>
      <c r="G21">
        <v>1</v>
      </c>
      <c r="H21">
        <v>79</v>
      </c>
      <c r="K21" s="4" t="s">
        <v>26</v>
      </c>
      <c r="L21">
        <v>22</v>
      </c>
      <c r="M21">
        <v>11</v>
      </c>
      <c r="N21">
        <v>16</v>
      </c>
      <c r="O21">
        <v>5</v>
      </c>
      <c r="P21">
        <v>12</v>
      </c>
      <c r="Q21">
        <v>5</v>
      </c>
      <c r="R21">
        <v>71</v>
      </c>
    </row>
    <row r="22" spans="1:18" x14ac:dyDescent="0.15">
      <c r="A22" s="4" t="s">
        <v>42</v>
      </c>
      <c r="B22">
        <v>8</v>
      </c>
      <c r="C22">
        <v>7</v>
      </c>
      <c r="D22">
        <v>17</v>
      </c>
      <c r="E22">
        <v>20</v>
      </c>
      <c r="F22">
        <v>16</v>
      </c>
      <c r="G22">
        <v>9</v>
      </c>
      <c r="H22">
        <v>77</v>
      </c>
      <c r="K22" s="4" t="s">
        <v>64</v>
      </c>
      <c r="L22">
        <v>73</v>
      </c>
      <c r="M22">
        <v>66</v>
      </c>
      <c r="N22">
        <v>59</v>
      </c>
      <c r="O22">
        <v>57</v>
      </c>
      <c r="P22">
        <v>42</v>
      </c>
      <c r="Q22">
        <v>36</v>
      </c>
      <c r="R22">
        <v>333</v>
      </c>
    </row>
    <row r="23" spans="1:18" x14ac:dyDescent="0.15">
      <c r="A23" s="4" t="s">
        <v>64</v>
      </c>
      <c r="B23">
        <v>73</v>
      </c>
      <c r="C23">
        <v>66</v>
      </c>
      <c r="D23">
        <v>59</v>
      </c>
      <c r="E23">
        <v>57</v>
      </c>
      <c r="F23">
        <v>42</v>
      </c>
      <c r="G23">
        <v>36</v>
      </c>
      <c r="H23">
        <v>333</v>
      </c>
    </row>
    <row r="27" spans="1:18" x14ac:dyDescent="0.15">
      <c r="N27" s="3" t="s">
        <v>68</v>
      </c>
      <c r="O27" s="3"/>
      <c r="Q27" s="8" t="s">
        <v>59</v>
      </c>
      <c r="R27" t="s">
        <v>201</v>
      </c>
    </row>
    <row r="28" spans="1:18" ht="15" x14ac:dyDescent="0.25">
      <c r="A28" s="3" t="s">
        <v>69</v>
      </c>
      <c r="B28" s="3"/>
      <c r="C28" s="3"/>
      <c r="E28" s="3" t="s">
        <v>70</v>
      </c>
      <c r="F28" s="3"/>
      <c r="G28" s="3"/>
      <c r="I28" s="9" t="s">
        <v>190</v>
      </c>
      <c r="J28" s="3"/>
      <c r="N28" s="8" t="s">
        <v>71</v>
      </c>
      <c r="O28" t="s">
        <v>63</v>
      </c>
      <c r="Q28" s="4" t="s">
        <v>21</v>
      </c>
      <c r="R28">
        <v>3.2307692307692308</v>
      </c>
    </row>
    <row r="29" spans="1:18" x14ac:dyDescent="0.15">
      <c r="A29" s="8" t="s">
        <v>11</v>
      </c>
      <c r="B29" t="s">
        <v>60</v>
      </c>
      <c r="C29" t="s">
        <v>61</v>
      </c>
      <c r="E29" s="8" t="s">
        <v>72</v>
      </c>
      <c r="F29" t="s">
        <v>60</v>
      </c>
      <c r="G29" s="6" t="s">
        <v>61</v>
      </c>
      <c r="I29" s="8" t="s">
        <v>11</v>
      </c>
      <c r="J29" t="s">
        <v>60</v>
      </c>
      <c r="K29" t="s">
        <v>61</v>
      </c>
      <c r="N29" s="4" t="s">
        <v>40</v>
      </c>
      <c r="O29">
        <v>25</v>
      </c>
      <c r="Q29" s="4" t="s">
        <v>28</v>
      </c>
      <c r="R29">
        <v>4.2142857142857144</v>
      </c>
    </row>
    <row r="30" spans="1:18" x14ac:dyDescent="0.15">
      <c r="A30" s="4" t="s">
        <v>36</v>
      </c>
      <c r="B30">
        <v>112</v>
      </c>
      <c r="C30" s="14">
        <v>46129</v>
      </c>
      <c r="E30" s="4" t="s">
        <v>73</v>
      </c>
      <c r="F30">
        <v>133</v>
      </c>
      <c r="G30" s="14">
        <v>55425</v>
      </c>
      <c r="I30" s="4" t="s">
        <v>36</v>
      </c>
      <c r="J30">
        <v>112</v>
      </c>
      <c r="K30" s="14">
        <v>46129</v>
      </c>
      <c r="N30" s="4" t="s">
        <v>26</v>
      </c>
      <c r="O30">
        <v>22</v>
      </c>
      <c r="Q30" s="4" t="s">
        <v>39</v>
      </c>
      <c r="R30">
        <v>3.2727272727272729</v>
      </c>
    </row>
    <row r="31" spans="1:18" x14ac:dyDescent="0.15">
      <c r="A31" s="4" t="s">
        <v>18</v>
      </c>
      <c r="B31">
        <v>66</v>
      </c>
      <c r="C31" s="14">
        <v>28362</v>
      </c>
      <c r="E31" s="4" t="s">
        <v>74</v>
      </c>
      <c r="F31">
        <v>76</v>
      </c>
      <c r="G31" s="14">
        <v>37832</v>
      </c>
      <c r="I31" s="4" t="s">
        <v>64</v>
      </c>
      <c r="J31">
        <v>112</v>
      </c>
      <c r="K31" s="14">
        <v>46129</v>
      </c>
      <c r="N31" s="4" t="s">
        <v>29</v>
      </c>
      <c r="O31">
        <v>19</v>
      </c>
      <c r="Q31" s="4" t="s">
        <v>32</v>
      </c>
      <c r="R31">
        <v>2.75</v>
      </c>
    </row>
    <row r="32" spans="1:18" x14ac:dyDescent="0.15">
      <c r="A32" s="4" t="s">
        <v>30</v>
      </c>
      <c r="B32">
        <v>83</v>
      </c>
      <c r="C32" s="14">
        <v>39029</v>
      </c>
      <c r="E32" s="4" t="s">
        <v>17</v>
      </c>
      <c r="F32">
        <v>69</v>
      </c>
      <c r="G32" s="14">
        <v>26716</v>
      </c>
      <c r="N32" s="4" t="s">
        <v>16</v>
      </c>
      <c r="O32">
        <v>19</v>
      </c>
      <c r="Q32" s="4" t="s">
        <v>52</v>
      </c>
      <c r="R32">
        <v>3.5625</v>
      </c>
    </row>
    <row r="33" spans="1:21" x14ac:dyDescent="0.15">
      <c r="A33" s="4" t="s">
        <v>24</v>
      </c>
      <c r="B33">
        <v>62</v>
      </c>
      <c r="C33" s="14">
        <v>29559</v>
      </c>
      <c r="E33" s="4" t="s">
        <v>75</v>
      </c>
      <c r="F33">
        <v>55</v>
      </c>
      <c r="G33" s="14">
        <v>26902</v>
      </c>
      <c r="N33" s="4" t="s">
        <v>23</v>
      </c>
      <c r="O33">
        <v>15</v>
      </c>
      <c r="Q33" s="4" t="s">
        <v>14</v>
      </c>
      <c r="R33">
        <v>3.3181818181818183</v>
      </c>
    </row>
    <row r="34" spans="1:21" x14ac:dyDescent="0.15">
      <c r="A34" s="4" t="s">
        <v>76</v>
      </c>
      <c r="B34">
        <v>10</v>
      </c>
      <c r="C34" s="14">
        <v>3796</v>
      </c>
      <c r="E34" s="4" t="s">
        <v>64</v>
      </c>
      <c r="F34">
        <v>333</v>
      </c>
      <c r="G34" s="14">
        <v>146875</v>
      </c>
      <c r="N34" s="4" t="s">
        <v>64</v>
      </c>
      <c r="O34">
        <v>100</v>
      </c>
      <c r="Q34" s="4" t="s">
        <v>64</v>
      </c>
      <c r="R34">
        <v>3.33</v>
      </c>
    </row>
    <row r="35" spans="1:21" x14ac:dyDescent="0.15">
      <c r="A35" s="4" t="s">
        <v>64</v>
      </c>
      <c r="B35">
        <v>333</v>
      </c>
      <c r="C35" s="14">
        <v>146875</v>
      </c>
      <c r="R35">
        <f>GETPIVOTDATA("Quantity",$Q$27)</f>
        <v>3.33</v>
      </c>
    </row>
    <row r="38" spans="1:21" ht="15" x14ac:dyDescent="0.25">
      <c r="A38" s="10" t="s">
        <v>192</v>
      </c>
      <c r="B38" s="3"/>
      <c r="E38" s="9" t="s">
        <v>191</v>
      </c>
      <c r="F38" s="3"/>
      <c r="G38" s="3"/>
      <c r="I38" s="3" t="s">
        <v>77</v>
      </c>
      <c r="J38" s="3"/>
      <c r="N38" s="11" t="s">
        <v>197</v>
      </c>
      <c r="O38" s="12"/>
      <c r="P38" s="12"/>
    </row>
    <row r="39" spans="1:21" x14ac:dyDescent="0.15">
      <c r="A39" s="8" t="s">
        <v>59</v>
      </c>
      <c r="B39" t="s">
        <v>63</v>
      </c>
      <c r="E39" s="8" t="s">
        <v>72</v>
      </c>
      <c r="F39" t="s">
        <v>60</v>
      </c>
      <c r="G39" s="7" t="s">
        <v>61</v>
      </c>
      <c r="I39" s="8" t="s">
        <v>59</v>
      </c>
      <c r="J39" t="s">
        <v>62</v>
      </c>
      <c r="K39" t="s">
        <v>63</v>
      </c>
      <c r="N39" s="8" t="s">
        <v>60</v>
      </c>
      <c r="O39" s="8" t="s">
        <v>59</v>
      </c>
    </row>
    <row r="40" spans="1:21" x14ac:dyDescent="0.15">
      <c r="A40" s="4" t="s">
        <v>40</v>
      </c>
      <c r="B40">
        <v>25</v>
      </c>
      <c r="E40" s="4" t="s">
        <v>73</v>
      </c>
      <c r="F40">
        <v>133</v>
      </c>
      <c r="G40" s="14">
        <v>55425</v>
      </c>
      <c r="I40" s="4" t="s">
        <v>32</v>
      </c>
      <c r="J40">
        <v>24</v>
      </c>
      <c r="K40">
        <v>24</v>
      </c>
      <c r="N40" s="8" t="s">
        <v>3</v>
      </c>
      <c r="O40" t="s">
        <v>14</v>
      </c>
      <c r="P40" t="s">
        <v>52</v>
      </c>
      <c r="Q40" t="s">
        <v>28</v>
      </c>
      <c r="R40" t="s">
        <v>21</v>
      </c>
      <c r="S40" t="s">
        <v>32</v>
      </c>
      <c r="T40" t="s">
        <v>39</v>
      </c>
      <c r="U40" t="s">
        <v>64</v>
      </c>
    </row>
    <row r="41" spans="1:21" x14ac:dyDescent="0.15">
      <c r="A41" s="4" t="s">
        <v>64</v>
      </c>
      <c r="B41">
        <v>25</v>
      </c>
      <c r="E41" s="4" t="s">
        <v>64</v>
      </c>
      <c r="F41">
        <v>133</v>
      </c>
      <c r="G41" s="14">
        <v>55425</v>
      </c>
      <c r="I41" s="4" t="s">
        <v>14</v>
      </c>
      <c r="J41">
        <v>22</v>
      </c>
      <c r="K41">
        <v>22</v>
      </c>
      <c r="N41" s="4" t="s">
        <v>13</v>
      </c>
      <c r="O41">
        <v>38</v>
      </c>
      <c r="P41">
        <v>14</v>
      </c>
      <c r="Q41">
        <v>9</v>
      </c>
      <c r="R41">
        <v>9</v>
      </c>
      <c r="S41">
        <v>8</v>
      </c>
      <c r="T41">
        <v>1</v>
      </c>
      <c r="U41">
        <v>79</v>
      </c>
    </row>
    <row r="42" spans="1:21" x14ac:dyDescent="0.15">
      <c r="I42" s="4" t="s">
        <v>52</v>
      </c>
      <c r="J42">
        <v>16</v>
      </c>
      <c r="K42">
        <v>16</v>
      </c>
      <c r="N42" s="4" t="s">
        <v>64</v>
      </c>
      <c r="O42">
        <v>38</v>
      </c>
      <c r="P42">
        <v>14</v>
      </c>
      <c r="Q42">
        <v>9</v>
      </c>
      <c r="R42">
        <v>9</v>
      </c>
      <c r="S42">
        <v>8</v>
      </c>
      <c r="T42">
        <v>1</v>
      </c>
      <c r="U42">
        <v>79</v>
      </c>
    </row>
    <row r="43" spans="1:21" x14ac:dyDescent="0.15">
      <c r="I43" s="4" t="s">
        <v>64</v>
      </c>
      <c r="J43">
        <v>62</v>
      </c>
      <c r="K43">
        <v>62</v>
      </c>
    </row>
    <row r="44" spans="1:21" ht="15" x14ac:dyDescent="0.25">
      <c r="D44" s="11" t="s">
        <v>195</v>
      </c>
      <c r="E44" s="12"/>
      <c r="F44" s="12"/>
      <c r="G44" s="11" t="s">
        <v>196</v>
      </c>
      <c r="H44" s="12"/>
      <c r="I44" s="12"/>
      <c r="J44" s="11" t="s">
        <v>198</v>
      </c>
      <c r="K44" s="12"/>
      <c r="L44" s="12"/>
    </row>
    <row r="45" spans="1:21" ht="15" x14ac:dyDescent="0.25">
      <c r="A45" s="10" t="s">
        <v>193</v>
      </c>
      <c r="B45" s="3"/>
      <c r="D45" s="8" t="s">
        <v>3</v>
      </c>
      <c r="E45" t="s">
        <v>61</v>
      </c>
      <c r="G45" s="8" t="s">
        <v>3</v>
      </c>
      <c r="H45" t="s">
        <v>61</v>
      </c>
      <c r="J45" s="8" t="s">
        <v>3</v>
      </c>
      <c r="K45" t="s">
        <v>61</v>
      </c>
    </row>
    <row r="46" spans="1:21" x14ac:dyDescent="0.15">
      <c r="A46" s="8" t="s">
        <v>59</v>
      </c>
      <c r="B46" t="s">
        <v>61</v>
      </c>
      <c r="D46" s="4" t="s">
        <v>42</v>
      </c>
      <c r="E46" s="14">
        <v>33451</v>
      </c>
      <c r="G46" s="4" t="s">
        <v>47</v>
      </c>
      <c r="H46" s="14">
        <v>26289</v>
      </c>
      <c r="J46" s="4" t="s">
        <v>42</v>
      </c>
      <c r="K46" s="14">
        <v>33451</v>
      </c>
    </row>
    <row r="47" spans="1:21" x14ac:dyDescent="0.15">
      <c r="A47" s="4" t="s">
        <v>32</v>
      </c>
      <c r="B47" s="14">
        <v>36612</v>
      </c>
      <c r="D47" s="4" t="s">
        <v>64</v>
      </c>
      <c r="E47" s="14">
        <v>33451</v>
      </c>
      <c r="G47" s="4" t="s">
        <v>20</v>
      </c>
      <c r="H47" s="14">
        <v>16515</v>
      </c>
      <c r="J47" s="4" t="s">
        <v>13</v>
      </c>
      <c r="K47" s="14">
        <v>33148</v>
      </c>
    </row>
    <row r="48" spans="1:21" x14ac:dyDescent="0.15">
      <c r="A48" s="4" t="s">
        <v>64</v>
      </c>
      <c r="B48" s="14">
        <v>36612</v>
      </c>
      <c r="G48" s="4" t="s">
        <v>35</v>
      </c>
      <c r="H48" s="14">
        <v>12387</v>
      </c>
      <c r="J48" s="4" t="s">
        <v>47</v>
      </c>
      <c r="K48" s="14">
        <v>26289</v>
      </c>
    </row>
    <row r="49" spans="7:11" x14ac:dyDescent="0.15">
      <c r="G49" s="4" t="s">
        <v>67</v>
      </c>
      <c r="H49" s="14">
        <v>25085</v>
      </c>
      <c r="J49" s="4" t="s">
        <v>64</v>
      </c>
      <c r="K49" s="14">
        <v>92888</v>
      </c>
    </row>
    <row r="50" spans="7:11" x14ac:dyDescent="0.15">
      <c r="G50" s="4" t="s">
        <v>13</v>
      </c>
      <c r="H50" s="14">
        <v>33148</v>
      </c>
    </row>
    <row r="51" spans="7:11" x14ac:dyDescent="0.15">
      <c r="G51" s="4" t="s">
        <v>42</v>
      </c>
      <c r="H51" s="14">
        <v>33451</v>
      </c>
    </row>
    <row r="52" spans="7:11" x14ac:dyDescent="0.15">
      <c r="G52" s="4" t="s">
        <v>64</v>
      </c>
      <c r="H52" s="14">
        <v>146875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A69-971F-4DC5-85FE-5C1B0242A676}">
  <sheetPr>
    <tabColor theme="3" tint="0.249977111117893"/>
  </sheetPr>
  <dimension ref="A1"/>
  <sheetViews>
    <sheetView showGridLines="0" zoomScale="90" zoomScaleNormal="90" workbookViewId="0">
      <selection activeCell="V1" sqref="V1"/>
    </sheetView>
  </sheetViews>
  <sheetFormatPr defaultRowHeight="13.5" x14ac:dyDescent="0.15"/>
  <cols>
    <col min="12" max="12"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499984740745262"/>
  </sheetPr>
  <dimension ref="A1:K101"/>
  <sheetViews>
    <sheetView workbookViewId="0"/>
  </sheetViews>
  <sheetFormatPr defaultColWidth="9" defaultRowHeight="13.5" x14ac:dyDescent="0.15"/>
  <cols>
    <col min="1" max="1" width="10.875" customWidth="1"/>
    <col min="2" max="2" width="17.75" customWidth="1"/>
    <col min="3" max="3" width="9.875" customWidth="1"/>
    <col min="4" max="4" width="15.625" customWidth="1"/>
    <col min="5" max="5" width="9.75" customWidth="1"/>
    <col min="7" max="7" width="10.625" customWidth="1"/>
    <col min="8" max="8" width="10.25" style="6" bestFit="1" customWidth="1"/>
    <col min="9" max="9" width="11.75" customWidth="1"/>
    <col min="10" max="10" width="18.125" customWidth="1"/>
  </cols>
  <sheetData>
    <row r="1" spans="1:11" x14ac:dyDescent="0.15">
      <c r="A1" t="s">
        <v>1</v>
      </c>
      <c r="B1" t="s">
        <v>2</v>
      </c>
      <c r="C1" t="s">
        <v>3</v>
      </c>
      <c r="D1" t="s">
        <v>4</v>
      </c>
      <c r="E1" t="s">
        <v>5</v>
      </c>
      <c r="F1" t="s">
        <v>6</v>
      </c>
      <c r="G1" t="s">
        <v>7</v>
      </c>
      <c r="H1" s="6" t="s">
        <v>8</v>
      </c>
      <c r="I1" t="s">
        <v>9</v>
      </c>
      <c r="J1" t="s">
        <v>10</v>
      </c>
      <c r="K1" s="17" t="s">
        <v>200</v>
      </c>
    </row>
    <row r="2" spans="1:11" x14ac:dyDescent="0.15">
      <c r="A2">
        <v>1001</v>
      </c>
      <c r="B2" t="s">
        <v>78</v>
      </c>
      <c r="C2" t="s">
        <v>42</v>
      </c>
      <c r="D2" t="s">
        <v>28</v>
      </c>
      <c r="E2" t="s">
        <v>22</v>
      </c>
      <c r="F2" t="s">
        <v>16</v>
      </c>
      <c r="G2">
        <v>5</v>
      </c>
      <c r="H2" s="14">
        <v>1817</v>
      </c>
      <c r="I2" s="2">
        <v>45778</v>
      </c>
      <c r="J2" t="s">
        <v>73</v>
      </c>
      <c r="K2" t="str">
        <f>TEXT(PTABLE[[#This Row],[Sale_Date]],"MMM")</f>
        <v>May</v>
      </c>
    </row>
    <row r="3" spans="1:11" x14ac:dyDescent="0.15">
      <c r="A3">
        <v>1002</v>
      </c>
      <c r="B3" t="s">
        <v>79</v>
      </c>
      <c r="C3" t="s">
        <v>47</v>
      </c>
      <c r="D3" t="s">
        <v>21</v>
      </c>
      <c r="E3" t="s">
        <v>22</v>
      </c>
      <c r="F3" t="s">
        <v>40</v>
      </c>
      <c r="G3">
        <v>1</v>
      </c>
      <c r="H3" s="14">
        <v>998</v>
      </c>
      <c r="I3" s="2">
        <v>45721</v>
      </c>
      <c r="J3" t="s">
        <v>75</v>
      </c>
      <c r="K3" t="str">
        <f>TEXT(PTABLE[[#This Row],[Sale_Date]],"MMM")</f>
        <v>Mar</v>
      </c>
    </row>
    <row r="4" spans="1:11" x14ac:dyDescent="0.15">
      <c r="A4">
        <v>1003</v>
      </c>
      <c r="B4" t="s">
        <v>80</v>
      </c>
      <c r="C4" t="s">
        <v>47</v>
      </c>
      <c r="D4" t="s">
        <v>14</v>
      </c>
      <c r="E4" t="s">
        <v>15</v>
      </c>
      <c r="F4" t="s">
        <v>23</v>
      </c>
      <c r="G4">
        <v>5</v>
      </c>
      <c r="H4" s="14">
        <v>876</v>
      </c>
      <c r="I4" s="2">
        <v>45682</v>
      </c>
      <c r="J4" t="s">
        <v>74</v>
      </c>
      <c r="K4" t="str">
        <f>TEXT(PTABLE[[#This Row],[Sale_Date]],"MMM")</f>
        <v>Jan</v>
      </c>
    </row>
    <row r="5" spans="1:11" x14ac:dyDescent="0.15">
      <c r="A5">
        <v>1004</v>
      </c>
      <c r="B5" t="s">
        <v>81</v>
      </c>
      <c r="C5" t="s">
        <v>42</v>
      </c>
      <c r="D5" t="s">
        <v>14</v>
      </c>
      <c r="E5" t="s">
        <v>15</v>
      </c>
      <c r="F5" t="s">
        <v>23</v>
      </c>
      <c r="G5">
        <v>2</v>
      </c>
      <c r="H5" s="14">
        <v>1290</v>
      </c>
      <c r="I5" s="2">
        <v>45740</v>
      </c>
      <c r="J5" t="s">
        <v>73</v>
      </c>
      <c r="K5" t="str">
        <f>TEXT(PTABLE[[#This Row],[Sale_Date]],"MMM")</f>
        <v>Mar</v>
      </c>
    </row>
    <row r="6" spans="1:11" x14ac:dyDescent="0.15">
      <c r="A6">
        <v>1005</v>
      </c>
      <c r="B6" t="s">
        <v>82</v>
      </c>
      <c r="C6" t="s">
        <v>42</v>
      </c>
      <c r="D6" t="s">
        <v>52</v>
      </c>
      <c r="E6" t="s">
        <v>33</v>
      </c>
      <c r="F6" t="s">
        <v>40</v>
      </c>
      <c r="G6">
        <v>3</v>
      </c>
      <c r="H6" s="14">
        <v>1092</v>
      </c>
      <c r="I6" s="2">
        <v>45689</v>
      </c>
      <c r="J6" t="s">
        <v>73</v>
      </c>
      <c r="K6" t="str">
        <f>TEXT(PTABLE[[#This Row],[Sale_Date]],"MMM")</f>
        <v>Feb</v>
      </c>
    </row>
    <row r="7" spans="1:11" x14ac:dyDescent="0.15">
      <c r="A7">
        <v>1006</v>
      </c>
      <c r="B7" t="s">
        <v>83</v>
      </c>
      <c r="C7" t="s">
        <v>67</v>
      </c>
      <c r="D7" t="s">
        <v>32</v>
      </c>
      <c r="E7" t="s">
        <v>22</v>
      </c>
      <c r="F7" t="s">
        <v>29</v>
      </c>
      <c r="G7">
        <v>5</v>
      </c>
      <c r="H7" s="14">
        <v>1939</v>
      </c>
      <c r="I7" s="2">
        <v>45703</v>
      </c>
      <c r="J7" t="s">
        <v>73</v>
      </c>
      <c r="K7" t="str">
        <f>TEXT(PTABLE[[#This Row],[Sale_Date]],"MMM")</f>
        <v>Feb</v>
      </c>
    </row>
    <row r="8" spans="1:11" x14ac:dyDescent="0.15">
      <c r="A8">
        <v>1007</v>
      </c>
      <c r="B8" t="s">
        <v>84</v>
      </c>
      <c r="C8" t="s">
        <v>20</v>
      </c>
      <c r="D8" t="s">
        <v>32</v>
      </c>
      <c r="E8" t="s">
        <v>15</v>
      </c>
      <c r="F8" t="s">
        <v>40</v>
      </c>
      <c r="G8">
        <v>1</v>
      </c>
      <c r="H8" s="14">
        <v>1798</v>
      </c>
      <c r="I8" s="2">
        <v>45701</v>
      </c>
      <c r="J8" t="s">
        <v>73</v>
      </c>
      <c r="K8" t="str">
        <f>TEXT(PTABLE[[#This Row],[Sale_Date]],"MMM")</f>
        <v>Feb</v>
      </c>
    </row>
    <row r="9" spans="1:11" x14ac:dyDescent="0.15">
      <c r="A9">
        <v>1008</v>
      </c>
      <c r="B9" t="s">
        <v>85</v>
      </c>
      <c r="C9" t="s">
        <v>13</v>
      </c>
      <c r="D9" t="s">
        <v>14</v>
      </c>
      <c r="E9" t="s">
        <v>33</v>
      </c>
      <c r="F9" t="s">
        <v>16</v>
      </c>
      <c r="G9">
        <v>3</v>
      </c>
      <c r="H9" s="14">
        <v>1808</v>
      </c>
      <c r="I9" s="2">
        <v>45746</v>
      </c>
      <c r="J9" t="s">
        <v>73</v>
      </c>
      <c r="K9" t="str">
        <f>TEXT(PTABLE[[#This Row],[Sale_Date]],"MMM")</f>
        <v>Mar</v>
      </c>
    </row>
    <row r="10" spans="1:11" x14ac:dyDescent="0.15">
      <c r="A10">
        <v>1009</v>
      </c>
      <c r="B10" t="s">
        <v>86</v>
      </c>
      <c r="C10" t="s">
        <v>67</v>
      </c>
      <c r="D10" t="s">
        <v>21</v>
      </c>
      <c r="E10" t="s">
        <v>15</v>
      </c>
      <c r="F10" t="s">
        <v>16</v>
      </c>
      <c r="G10">
        <v>2</v>
      </c>
      <c r="H10" s="14">
        <v>1381</v>
      </c>
      <c r="I10" s="2">
        <v>45722</v>
      </c>
      <c r="J10" t="s">
        <v>73</v>
      </c>
      <c r="K10" t="str">
        <f>TEXT(PTABLE[[#This Row],[Sale_Date]],"MMM")</f>
        <v>Mar</v>
      </c>
    </row>
    <row r="11" spans="1:11" x14ac:dyDescent="0.15">
      <c r="A11">
        <v>1010</v>
      </c>
      <c r="B11" t="s">
        <v>87</v>
      </c>
      <c r="C11" t="s">
        <v>35</v>
      </c>
      <c r="D11" t="s">
        <v>32</v>
      </c>
      <c r="E11" t="s">
        <v>33</v>
      </c>
      <c r="F11" t="s">
        <v>29</v>
      </c>
      <c r="G11">
        <v>5</v>
      </c>
      <c r="H11" s="14">
        <v>1670</v>
      </c>
      <c r="I11" s="2">
        <v>45713</v>
      </c>
      <c r="J11" t="s">
        <v>73</v>
      </c>
      <c r="K11" t="str">
        <f>TEXT(PTABLE[[#This Row],[Sale_Date]],"MMM")</f>
        <v>Feb</v>
      </c>
    </row>
    <row r="12" spans="1:11" x14ac:dyDescent="0.15">
      <c r="A12">
        <v>1011</v>
      </c>
      <c r="B12" t="s">
        <v>88</v>
      </c>
      <c r="C12" t="s">
        <v>13</v>
      </c>
      <c r="D12" t="s">
        <v>14</v>
      </c>
      <c r="E12" t="s">
        <v>22</v>
      </c>
      <c r="F12" t="s">
        <v>26</v>
      </c>
      <c r="G12">
        <v>5</v>
      </c>
      <c r="H12" s="14">
        <v>1857</v>
      </c>
      <c r="I12" s="2">
        <v>45685</v>
      </c>
      <c r="J12" t="s">
        <v>75</v>
      </c>
      <c r="K12" t="str">
        <f>TEXT(PTABLE[[#This Row],[Sale_Date]],"MMM")</f>
        <v>Jan</v>
      </c>
    </row>
    <row r="13" spans="1:11" x14ac:dyDescent="0.15">
      <c r="A13">
        <v>1012</v>
      </c>
      <c r="B13" t="s">
        <v>45</v>
      </c>
      <c r="C13" t="s">
        <v>42</v>
      </c>
      <c r="D13" t="s">
        <v>39</v>
      </c>
      <c r="E13" t="s">
        <v>33</v>
      </c>
      <c r="F13" t="s">
        <v>23</v>
      </c>
      <c r="G13">
        <v>3</v>
      </c>
      <c r="H13" s="14">
        <v>1572</v>
      </c>
      <c r="I13" s="2">
        <v>45741</v>
      </c>
      <c r="J13" t="s">
        <v>17</v>
      </c>
      <c r="K13" t="str">
        <f>TEXT(PTABLE[[#This Row],[Sale_Date]],"MMM")</f>
        <v>Mar</v>
      </c>
    </row>
    <row r="14" spans="1:11" x14ac:dyDescent="0.15">
      <c r="A14">
        <v>1013</v>
      </c>
      <c r="B14" t="s">
        <v>89</v>
      </c>
      <c r="C14" t="s">
        <v>20</v>
      </c>
      <c r="D14" t="s">
        <v>21</v>
      </c>
      <c r="E14" t="s">
        <v>15</v>
      </c>
      <c r="F14" t="s">
        <v>40</v>
      </c>
      <c r="G14">
        <v>3</v>
      </c>
      <c r="H14" s="14">
        <v>1868</v>
      </c>
      <c r="I14" s="2">
        <v>45706</v>
      </c>
      <c r="J14" t="s">
        <v>75</v>
      </c>
      <c r="K14" t="str">
        <f>TEXT(PTABLE[[#This Row],[Sale_Date]],"MMM")</f>
        <v>Feb</v>
      </c>
    </row>
    <row r="15" spans="1:11" x14ac:dyDescent="0.15">
      <c r="A15">
        <v>1014</v>
      </c>
      <c r="B15" t="s">
        <v>90</v>
      </c>
      <c r="C15" t="s">
        <v>42</v>
      </c>
      <c r="D15" t="s">
        <v>21</v>
      </c>
      <c r="E15" t="s">
        <v>15</v>
      </c>
      <c r="F15" t="s">
        <v>23</v>
      </c>
      <c r="G15">
        <v>3</v>
      </c>
      <c r="H15" s="14">
        <v>1743</v>
      </c>
      <c r="I15" s="2">
        <v>45674</v>
      </c>
      <c r="J15" t="s">
        <v>74</v>
      </c>
      <c r="K15" t="str">
        <f>TEXT(PTABLE[[#This Row],[Sale_Date]],"MMM")</f>
        <v>Jan</v>
      </c>
    </row>
    <row r="16" spans="1:11" x14ac:dyDescent="0.15">
      <c r="A16">
        <v>1015</v>
      </c>
      <c r="B16" t="s">
        <v>91</v>
      </c>
      <c r="C16" t="s">
        <v>67</v>
      </c>
      <c r="D16" t="s">
        <v>32</v>
      </c>
      <c r="E16" t="s">
        <v>22</v>
      </c>
      <c r="F16" t="s">
        <v>40</v>
      </c>
      <c r="G16">
        <v>1</v>
      </c>
      <c r="H16" s="14">
        <v>1544</v>
      </c>
      <c r="I16" s="2">
        <v>45684</v>
      </c>
      <c r="J16" t="s">
        <v>74</v>
      </c>
      <c r="K16" t="str">
        <f>TEXT(PTABLE[[#This Row],[Sale_Date]],"MMM")</f>
        <v>Jan</v>
      </c>
    </row>
    <row r="17" spans="1:11" x14ac:dyDescent="0.15">
      <c r="A17">
        <v>1016</v>
      </c>
      <c r="B17" t="s">
        <v>92</v>
      </c>
      <c r="C17" t="s">
        <v>67</v>
      </c>
      <c r="D17" t="s">
        <v>21</v>
      </c>
      <c r="E17" t="s">
        <v>33</v>
      </c>
      <c r="F17" t="s">
        <v>40</v>
      </c>
      <c r="G17">
        <v>4</v>
      </c>
      <c r="H17" s="14">
        <v>1819</v>
      </c>
      <c r="I17" s="2">
        <v>45751</v>
      </c>
      <c r="J17" t="s">
        <v>73</v>
      </c>
      <c r="K17" t="str">
        <f>TEXT(PTABLE[[#This Row],[Sale_Date]],"MMM")</f>
        <v>Apr</v>
      </c>
    </row>
    <row r="18" spans="1:11" x14ac:dyDescent="0.15">
      <c r="A18">
        <v>1017</v>
      </c>
      <c r="B18" t="s">
        <v>93</v>
      </c>
      <c r="C18" t="s">
        <v>20</v>
      </c>
      <c r="D18" t="s">
        <v>28</v>
      </c>
      <c r="E18" t="s">
        <v>15</v>
      </c>
      <c r="F18" t="s">
        <v>29</v>
      </c>
      <c r="G18">
        <v>5</v>
      </c>
      <c r="H18" s="14">
        <v>1992</v>
      </c>
      <c r="I18" s="2">
        <v>45775</v>
      </c>
      <c r="J18" t="s">
        <v>75</v>
      </c>
      <c r="K18" t="str">
        <f>TEXT(PTABLE[[#This Row],[Sale_Date]],"MMM")</f>
        <v>Apr</v>
      </c>
    </row>
    <row r="19" spans="1:11" x14ac:dyDescent="0.15">
      <c r="A19">
        <v>1018</v>
      </c>
      <c r="B19" t="s">
        <v>94</v>
      </c>
      <c r="C19" t="s">
        <v>47</v>
      </c>
      <c r="D19" t="s">
        <v>32</v>
      </c>
      <c r="E19" t="s">
        <v>22</v>
      </c>
      <c r="F19" t="s">
        <v>29</v>
      </c>
      <c r="G19">
        <v>2</v>
      </c>
      <c r="H19" s="14">
        <v>1003</v>
      </c>
      <c r="I19" s="2">
        <v>45751</v>
      </c>
      <c r="J19" t="s">
        <v>75</v>
      </c>
      <c r="K19" t="str">
        <f>TEXT(PTABLE[[#This Row],[Sale_Date]],"MMM")</f>
        <v>Apr</v>
      </c>
    </row>
    <row r="20" spans="1:11" x14ac:dyDescent="0.15">
      <c r="A20">
        <v>1019</v>
      </c>
      <c r="B20" t="s">
        <v>95</v>
      </c>
      <c r="C20" t="s">
        <v>67</v>
      </c>
      <c r="D20" t="s">
        <v>28</v>
      </c>
      <c r="E20" t="s">
        <v>33</v>
      </c>
      <c r="F20" t="s">
        <v>16</v>
      </c>
      <c r="G20">
        <v>1</v>
      </c>
      <c r="H20" s="14">
        <v>1010</v>
      </c>
      <c r="I20" s="2">
        <v>45731</v>
      </c>
      <c r="J20" t="s">
        <v>73</v>
      </c>
      <c r="K20" t="str">
        <f>TEXT(PTABLE[[#This Row],[Sale_Date]],"MMM")</f>
        <v>Mar</v>
      </c>
    </row>
    <row r="21" spans="1:11" x14ac:dyDescent="0.15">
      <c r="A21">
        <v>1020</v>
      </c>
      <c r="B21" t="s">
        <v>96</v>
      </c>
      <c r="C21" t="s">
        <v>67</v>
      </c>
      <c r="D21" t="s">
        <v>52</v>
      </c>
      <c r="E21" t="s">
        <v>22</v>
      </c>
      <c r="F21" t="s">
        <v>16</v>
      </c>
      <c r="G21">
        <v>3</v>
      </c>
      <c r="H21" s="14">
        <v>1588</v>
      </c>
      <c r="I21" s="2">
        <v>45743</v>
      </c>
      <c r="J21" t="s">
        <v>73</v>
      </c>
      <c r="K21" t="str">
        <f>TEXT(PTABLE[[#This Row],[Sale_Date]],"MMM")</f>
        <v>Mar</v>
      </c>
    </row>
    <row r="22" spans="1:11" x14ac:dyDescent="0.15">
      <c r="A22">
        <v>1021</v>
      </c>
      <c r="B22" t="s">
        <v>54</v>
      </c>
      <c r="C22" t="s">
        <v>35</v>
      </c>
      <c r="D22" t="s">
        <v>52</v>
      </c>
      <c r="E22" t="s">
        <v>22</v>
      </c>
      <c r="F22" t="s">
        <v>29</v>
      </c>
      <c r="G22">
        <v>3</v>
      </c>
      <c r="H22" s="14">
        <v>742</v>
      </c>
      <c r="I22" s="2">
        <v>45728</v>
      </c>
      <c r="J22" t="s">
        <v>17</v>
      </c>
      <c r="K22" t="str">
        <f>TEXT(PTABLE[[#This Row],[Sale_Date]],"MMM")</f>
        <v>Mar</v>
      </c>
    </row>
    <row r="23" spans="1:11" x14ac:dyDescent="0.15">
      <c r="A23">
        <v>1022</v>
      </c>
      <c r="B23" t="s">
        <v>97</v>
      </c>
      <c r="C23" t="s">
        <v>35</v>
      </c>
      <c r="D23" t="s">
        <v>52</v>
      </c>
      <c r="E23" t="s">
        <v>33</v>
      </c>
      <c r="F23" t="s">
        <v>23</v>
      </c>
      <c r="G23">
        <v>4</v>
      </c>
      <c r="H23" s="14">
        <v>1627</v>
      </c>
      <c r="I23" s="2">
        <v>45738</v>
      </c>
      <c r="J23" t="s">
        <v>75</v>
      </c>
      <c r="K23" t="str">
        <f>TEXT(PTABLE[[#This Row],[Sale_Date]],"MMM")</f>
        <v>Mar</v>
      </c>
    </row>
    <row r="24" spans="1:11" x14ac:dyDescent="0.15">
      <c r="A24">
        <v>1023</v>
      </c>
      <c r="B24" t="s">
        <v>53</v>
      </c>
      <c r="C24" t="s">
        <v>42</v>
      </c>
      <c r="D24" t="s">
        <v>52</v>
      </c>
      <c r="E24" t="s">
        <v>33</v>
      </c>
      <c r="F24" t="s">
        <v>29</v>
      </c>
      <c r="G24">
        <v>5</v>
      </c>
      <c r="H24" s="14">
        <v>1964</v>
      </c>
      <c r="I24" s="2">
        <v>45766</v>
      </c>
      <c r="J24" t="s">
        <v>17</v>
      </c>
      <c r="K24" t="str">
        <f>TEXT(PTABLE[[#This Row],[Sale_Date]],"MMM")</f>
        <v>Apr</v>
      </c>
    </row>
    <row r="25" spans="1:11" x14ac:dyDescent="0.15">
      <c r="A25">
        <v>1024</v>
      </c>
      <c r="B25" t="s">
        <v>51</v>
      </c>
      <c r="C25" t="s">
        <v>13</v>
      </c>
      <c r="D25" t="s">
        <v>52</v>
      </c>
      <c r="E25" t="s">
        <v>22</v>
      </c>
      <c r="F25" t="s">
        <v>26</v>
      </c>
      <c r="G25">
        <v>4</v>
      </c>
      <c r="H25" s="14">
        <v>817</v>
      </c>
      <c r="I25" s="2">
        <v>45658</v>
      </c>
      <c r="J25" t="s">
        <v>17</v>
      </c>
      <c r="K25" t="str">
        <f>TEXT(PTABLE[[#This Row],[Sale_Date]],"MMM")</f>
        <v>Jan</v>
      </c>
    </row>
    <row r="26" spans="1:11" x14ac:dyDescent="0.15">
      <c r="A26">
        <v>1025</v>
      </c>
      <c r="B26" t="s">
        <v>98</v>
      </c>
      <c r="C26" t="s">
        <v>13</v>
      </c>
      <c r="D26" t="s">
        <v>14</v>
      </c>
      <c r="E26" t="s">
        <v>33</v>
      </c>
      <c r="F26" t="s">
        <v>16</v>
      </c>
      <c r="G26">
        <v>5</v>
      </c>
      <c r="H26" s="14">
        <v>1571</v>
      </c>
      <c r="I26" s="2">
        <v>45680</v>
      </c>
      <c r="J26" t="s">
        <v>73</v>
      </c>
      <c r="K26" t="str">
        <f>TEXT(PTABLE[[#This Row],[Sale_Date]],"MMM")</f>
        <v>Jan</v>
      </c>
    </row>
    <row r="27" spans="1:11" x14ac:dyDescent="0.15">
      <c r="A27">
        <v>1026</v>
      </c>
      <c r="B27" t="s">
        <v>99</v>
      </c>
      <c r="C27" t="s">
        <v>67</v>
      </c>
      <c r="D27" t="s">
        <v>39</v>
      </c>
      <c r="E27" t="s">
        <v>33</v>
      </c>
      <c r="F27" t="s">
        <v>29</v>
      </c>
      <c r="G27">
        <v>3</v>
      </c>
      <c r="H27" s="14">
        <v>1302</v>
      </c>
      <c r="I27" s="2">
        <v>45743</v>
      </c>
      <c r="J27" t="s">
        <v>73</v>
      </c>
      <c r="K27" t="str">
        <f>TEXT(PTABLE[[#This Row],[Sale_Date]],"MMM")</f>
        <v>Mar</v>
      </c>
    </row>
    <row r="28" spans="1:11" x14ac:dyDescent="0.15">
      <c r="A28">
        <v>1027</v>
      </c>
      <c r="B28" t="s">
        <v>50</v>
      </c>
      <c r="C28" t="s">
        <v>42</v>
      </c>
      <c r="D28" t="s">
        <v>28</v>
      </c>
      <c r="E28" t="s">
        <v>22</v>
      </c>
      <c r="F28" t="s">
        <v>26</v>
      </c>
      <c r="G28">
        <v>5</v>
      </c>
      <c r="H28" s="14">
        <v>1060</v>
      </c>
      <c r="I28" s="2">
        <v>45676</v>
      </c>
      <c r="J28" t="s">
        <v>17</v>
      </c>
      <c r="K28" t="str">
        <f>TEXT(PTABLE[[#This Row],[Sale_Date]],"MMM")</f>
        <v>Jan</v>
      </c>
    </row>
    <row r="29" spans="1:11" x14ac:dyDescent="0.15">
      <c r="A29">
        <v>1028</v>
      </c>
      <c r="B29" t="s">
        <v>100</v>
      </c>
      <c r="C29" t="s">
        <v>13</v>
      </c>
      <c r="D29" t="s">
        <v>28</v>
      </c>
      <c r="E29" t="s">
        <v>33</v>
      </c>
      <c r="F29" t="s">
        <v>40</v>
      </c>
      <c r="G29">
        <v>4</v>
      </c>
      <c r="H29" s="14">
        <v>1879</v>
      </c>
      <c r="I29" s="2">
        <v>45687</v>
      </c>
      <c r="J29" t="s">
        <v>74</v>
      </c>
      <c r="K29" t="str">
        <f>TEXT(PTABLE[[#This Row],[Sale_Date]],"MMM")</f>
        <v>Jan</v>
      </c>
    </row>
    <row r="30" spans="1:11" x14ac:dyDescent="0.15">
      <c r="A30">
        <v>1029</v>
      </c>
      <c r="B30" t="s">
        <v>101</v>
      </c>
      <c r="C30" t="s">
        <v>47</v>
      </c>
      <c r="D30" t="s">
        <v>32</v>
      </c>
      <c r="E30" t="s">
        <v>22</v>
      </c>
      <c r="F30" t="s">
        <v>29</v>
      </c>
      <c r="G30">
        <v>3</v>
      </c>
      <c r="H30" s="14">
        <v>1963</v>
      </c>
      <c r="I30" s="2">
        <v>45746</v>
      </c>
      <c r="J30" t="s">
        <v>73</v>
      </c>
      <c r="K30" t="str">
        <f>TEXT(PTABLE[[#This Row],[Sale_Date]],"MMM")</f>
        <v>Mar</v>
      </c>
    </row>
    <row r="31" spans="1:11" x14ac:dyDescent="0.15">
      <c r="A31">
        <v>1030</v>
      </c>
      <c r="B31" t="s">
        <v>102</v>
      </c>
      <c r="C31" t="s">
        <v>47</v>
      </c>
      <c r="D31" t="s">
        <v>39</v>
      </c>
      <c r="E31" t="s">
        <v>15</v>
      </c>
      <c r="F31" t="s">
        <v>40</v>
      </c>
      <c r="G31">
        <v>5</v>
      </c>
      <c r="H31" s="14">
        <v>1673</v>
      </c>
      <c r="I31" s="2">
        <v>45676</v>
      </c>
      <c r="J31" t="s">
        <v>73</v>
      </c>
      <c r="K31" t="str">
        <f>TEXT(PTABLE[[#This Row],[Sale_Date]],"MMM")</f>
        <v>Jan</v>
      </c>
    </row>
    <row r="32" spans="1:11" x14ac:dyDescent="0.15">
      <c r="A32">
        <v>1031</v>
      </c>
      <c r="B32" t="s">
        <v>103</v>
      </c>
      <c r="C32" t="s">
        <v>67</v>
      </c>
      <c r="D32" t="s">
        <v>28</v>
      </c>
      <c r="E32" t="s">
        <v>22</v>
      </c>
      <c r="F32" t="s">
        <v>16</v>
      </c>
      <c r="G32">
        <v>5</v>
      </c>
      <c r="H32" s="14">
        <v>1135</v>
      </c>
      <c r="I32" s="2">
        <v>45742</v>
      </c>
      <c r="J32" t="s">
        <v>73</v>
      </c>
      <c r="K32" t="str">
        <f>TEXT(PTABLE[[#This Row],[Sale_Date]],"MMM")</f>
        <v>Mar</v>
      </c>
    </row>
    <row r="33" spans="1:11" x14ac:dyDescent="0.15">
      <c r="A33">
        <v>1032</v>
      </c>
      <c r="B33" t="s">
        <v>104</v>
      </c>
      <c r="C33" t="s">
        <v>42</v>
      </c>
      <c r="D33" t="s">
        <v>14</v>
      </c>
      <c r="E33" t="s">
        <v>33</v>
      </c>
      <c r="F33" t="s">
        <v>40</v>
      </c>
      <c r="G33">
        <v>5</v>
      </c>
      <c r="H33" s="14">
        <v>1550</v>
      </c>
      <c r="I33" s="2">
        <v>45725</v>
      </c>
      <c r="J33" t="s">
        <v>75</v>
      </c>
      <c r="K33" t="str">
        <f>TEXT(PTABLE[[#This Row],[Sale_Date]],"MMM")</f>
        <v>Mar</v>
      </c>
    </row>
    <row r="34" spans="1:11" x14ac:dyDescent="0.15">
      <c r="A34">
        <v>1033</v>
      </c>
      <c r="B34" t="s">
        <v>105</v>
      </c>
      <c r="C34" t="s">
        <v>47</v>
      </c>
      <c r="D34" t="s">
        <v>39</v>
      </c>
      <c r="E34" t="s">
        <v>33</v>
      </c>
      <c r="F34" t="s">
        <v>40</v>
      </c>
      <c r="G34">
        <v>5</v>
      </c>
      <c r="H34" s="14">
        <v>1646</v>
      </c>
      <c r="I34" s="2">
        <v>45693</v>
      </c>
      <c r="J34" t="s">
        <v>75</v>
      </c>
      <c r="K34" t="str">
        <f>TEXT(PTABLE[[#This Row],[Sale_Date]],"MMM")</f>
        <v>Feb</v>
      </c>
    </row>
    <row r="35" spans="1:11" x14ac:dyDescent="0.15">
      <c r="A35">
        <v>1034</v>
      </c>
      <c r="B35" t="s">
        <v>106</v>
      </c>
      <c r="C35" t="s">
        <v>42</v>
      </c>
      <c r="D35" t="s">
        <v>32</v>
      </c>
      <c r="E35" t="s">
        <v>33</v>
      </c>
      <c r="F35" t="s">
        <v>29</v>
      </c>
      <c r="G35">
        <v>4</v>
      </c>
      <c r="H35" s="14">
        <v>1559</v>
      </c>
      <c r="I35" s="2">
        <v>45733</v>
      </c>
      <c r="J35" t="s">
        <v>73</v>
      </c>
      <c r="K35" t="str">
        <f>TEXT(PTABLE[[#This Row],[Sale_Date]],"MMM")</f>
        <v>Mar</v>
      </c>
    </row>
    <row r="36" spans="1:11" x14ac:dyDescent="0.15">
      <c r="A36">
        <v>1035</v>
      </c>
      <c r="B36" t="s">
        <v>49</v>
      </c>
      <c r="C36" t="s">
        <v>47</v>
      </c>
      <c r="D36" t="s">
        <v>32</v>
      </c>
      <c r="E36" t="s">
        <v>33</v>
      </c>
      <c r="F36" t="s">
        <v>26</v>
      </c>
      <c r="G36">
        <v>5</v>
      </c>
      <c r="H36" s="14">
        <v>1793</v>
      </c>
      <c r="I36" s="2">
        <v>45659</v>
      </c>
      <c r="J36" t="s">
        <v>17</v>
      </c>
      <c r="K36" t="str">
        <f>TEXT(PTABLE[[#This Row],[Sale_Date]],"MMM")</f>
        <v>Jan</v>
      </c>
    </row>
    <row r="37" spans="1:11" x14ac:dyDescent="0.15">
      <c r="A37">
        <v>1036</v>
      </c>
      <c r="B37" t="s">
        <v>107</v>
      </c>
      <c r="C37" t="s">
        <v>42</v>
      </c>
      <c r="D37" t="s">
        <v>21</v>
      </c>
      <c r="E37" t="s">
        <v>15</v>
      </c>
      <c r="F37" t="s">
        <v>40</v>
      </c>
      <c r="G37">
        <v>5</v>
      </c>
      <c r="H37" s="14">
        <v>1030</v>
      </c>
      <c r="I37" s="2">
        <v>45749</v>
      </c>
      <c r="J37" t="s">
        <v>74</v>
      </c>
      <c r="K37" t="str">
        <f>TEXT(PTABLE[[#This Row],[Sale_Date]],"MMM")</f>
        <v>Apr</v>
      </c>
    </row>
    <row r="38" spans="1:11" x14ac:dyDescent="0.15">
      <c r="A38">
        <v>1037</v>
      </c>
      <c r="B38" t="s">
        <v>108</v>
      </c>
      <c r="C38" t="s">
        <v>47</v>
      </c>
      <c r="D38" t="s">
        <v>32</v>
      </c>
      <c r="E38" t="s">
        <v>33</v>
      </c>
      <c r="F38" t="s">
        <v>29</v>
      </c>
      <c r="G38">
        <v>2</v>
      </c>
      <c r="H38" s="14">
        <v>1921</v>
      </c>
      <c r="I38" s="2">
        <v>45756</v>
      </c>
      <c r="J38" t="s">
        <v>74</v>
      </c>
      <c r="K38" t="str">
        <f>TEXT(PTABLE[[#This Row],[Sale_Date]],"MMM")</f>
        <v>Apr</v>
      </c>
    </row>
    <row r="39" spans="1:11" x14ac:dyDescent="0.15">
      <c r="A39">
        <v>1038</v>
      </c>
      <c r="B39" t="s">
        <v>109</v>
      </c>
      <c r="C39" t="s">
        <v>67</v>
      </c>
      <c r="D39" t="s">
        <v>32</v>
      </c>
      <c r="E39" t="s">
        <v>33</v>
      </c>
      <c r="F39" t="s">
        <v>16</v>
      </c>
      <c r="G39">
        <v>1</v>
      </c>
      <c r="H39" s="14">
        <v>1674</v>
      </c>
      <c r="I39" s="2">
        <v>45764</v>
      </c>
      <c r="J39" t="s">
        <v>74</v>
      </c>
      <c r="K39" t="str">
        <f>TEXT(PTABLE[[#This Row],[Sale_Date]],"MMM")</f>
        <v>Apr</v>
      </c>
    </row>
    <row r="40" spans="1:11" x14ac:dyDescent="0.15">
      <c r="A40">
        <v>1039</v>
      </c>
      <c r="B40" t="s">
        <v>110</v>
      </c>
      <c r="C40" t="s">
        <v>47</v>
      </c>
      <c r="D40" t="s">
        <v>14</v>
      </c>
      <c r="E40" t="s">
        <v>22</v>
      </c>
      <c r="F40" t="s">
        <v>29</v>
      </c>
      <c r="G40">
        <v>1</v>
      </c>
      <c r="H40" s="14">
        <v>1218</v>
      </c>
      <c r="I40" s="2">
        <v>45682</v>
      </c>
      <c r="J40" t="s">
        <v>74</v>
      </c>
      <c r="K40" t="str">
        <f>TEXT(PTABLE[[#This Row],[Sale_Date]],"MMM")</f>
        <v>Jan</v>
      </c>
    </row>
    <row r="41" spans="1:11" x14ac:dyDescent="0.15">
      <c r="A41">
        <v>1040</v>
      </c>
      <c r="B41" t="s">
        <v>111</v>
      </c>
      <c r="C41" t="s">
        <v>67</v>
      </c>
      <c r="D41" t="s">
        <v>14</v>
      </c>
      <c r="E41" t="s">
        <v>22</v>
      </c>
      <c r="F41" t="s">
        <v>16</v>
      </c>
      <c r="G41">
        <v>4</v>
      </c>
      <c r="H41" s="14">
        <v>1034</v>
      </c>
      <c r="I41" s="2">
        <v>45778</v>
      </c>
      <c r="J41" t="s">
        <v>74</v>
      </c>
      <c r="K41" t="str">
        <f>TEXT(PTABLE[[#This Row],[Sale_Date]],"MMM")</f>
        <v>May</v>
      </c>
    </row>
    <row r="42" spans="1:11" x14ac:dyDescent="0.15">
      <c r="A42">
        <v>1041</v>
      </c>
      <c r="B42" t="s">
        <v>112</v>
      </c>
      <c r="C42" t="s">
        <v>13</v>
      </c>
      <c r="D42" t="s">
        <v>52</v>
      </c>
      <c r="E42" t="s">
        <v>33</v>
      </c>
      <c r="F42" t="s">
        <v>23</v>
      </c>
      <c r="G42">
        <v>3</v>
      </c>
      <c r="H42" s="14">
        <v>1633</v>
      </c>
      <c r="I42" s="2">
        <v>45743</v>
      </c>
      <c r="J42" t="s">
        <v>74</v>
      </c>
      <c r="K42" t="str">
        <f>TEXT(PTABLE[[#This Row],[Sale_Date]],"MMM")</f>
        <v>Mar</v>
      </c>
    </row>
    <row r="43" spans="1:11" x14ac:dyDescent="0.15">
      <c r="A43">
        <v>1042</v>
      </c>
      <c r="B43" t="s">
        <v>113</v>
      </c>
      <c r="C43" t="s">
        <v>13</v>
      </c>
      <c r="D43" t="s">
        <v>52</v>
      </c>
      <c r="E43" t="s">
        <v>22</v>
      </c>
      <c r="F43" t="s">
        <v>23</v>
      </c>
      <c r="G43">
        <v>4</v>
      </c>
      <c r="H43" s="14">
        <v>720</v>
      </c>
      <c r="I43" s="2">
        <v>45677</v>
      </c>
      <c r="J43" t="s">
        <v>73</v>
      </c>
      <c r="K43" t="str">
        <f>TEXT(PTABLE[[#This Row],[Sale_Date]],"MMM")</f>
        <v>Jan</v>
      </c>
    </row>
    <row r="44" spans="1:11" x14ac:dyDescent="0.15">
      <c r="A44">
        <v>1043</v>
      </c>
      <c r="B44" t="s">
        <v>114</v>
      </c>
      <c r="C44" t="s">
        <v>67</v>
      </c>
      <c r="D44" t="s">
        <v>52</v>
      </c>
      <c r="E44" t="s">
        <v>33</v>
      </c>
      <c r="F44" t="s">
        <v>29</v>
      </c>
      <c r="G44">
        <v>2</v>
      </c>
      <c r="H44" s="14">
        <v>1238</v>
      </c>
      <c r="I44" s="2">
        <v>45738</v>
      </c>
      <c r="J44" t="s">
        <v>74</v>
      </c>
      <c r="K44" t="str">
        <f>TEXT(PTABLE[[#This Row],[Sale_Date]],"MMM")</f>
        <v>Mar</v>
      </c>
    </row>
    <row r="45" spans="1:11" x14ac:dyDescent="0.15">
      <c r="A45">
        <v>1044</v>
      </c>
      <c r="B45" t="s">
        <v>115</v>
      </c>
      <c r="C45" t="s">
        <v>42</v>
      </c>
      <c r="D45" t="s">
        <v>28</v>
      </c>
      <c r="E45" t="s">
        <v>22</v>
      </c>
      <c r="F45" t="s">
        <v>26</v>
      </c>
      <c r="G45">
        <v>4</v>
      </c>
      <c r="H45" s="14">
        <v>1779</v>
      </c>
      <c r="I45" s="2">
        <v>45669</v>
      </c>
      <c r="J45" t="s">
        <v>73</v>
      </c>
      <c r="K45" t="str">
        <f>TEXT(PTABLE[[#This Row],[Sale_Date]],"MMM")</f>
        <v>Jan</v>
      </c>
    </row>
    <row r="46" spans="1:11" x14ac:dyDescent="0.15">
      <c r="A46">
        <v>1045</v>
      </c>
      <c r="B46" t="s">
        <v>116</v>
      </c>
      <c r="C46" t="s">
        <v>13</v>
      </c>
      <c r="D46" t="s">
        <v>28</v>
      </c>
      <c r="E46" t="s">
        <v>22</v>
      </c>
      <c r="F46" t="s">
        <v>16</v>
      </c>
      <c r="G46">
        <v>5</v>
      </c>
      <c r="H46" s="14">
        <v>1667</v>
      </c>
      <c r="I46" s="2">
        <v>45765</v>
      </c>
      <c r="J46" t="s">
        <v>73</v>
      </c>
      <c r="K46" t="str">
        <f>TEXT(PTABLE[[#This Row],[Sale_Date]],"MMM")</f>
        <v>Apr</v>
      </c>
    </row>
    <row r="47" spans="1:11" x14ac:dyDescent="0.15">
      <c r="A47">
        <v>1046</v>
      </c>
      <c r="B47" t="s">
        <v>117</v>
      </c>
      <c r="C47" t="s">
        <v>20</v>
      </c>
      <c r="D47" t="s">
        <v>14</v>
      </c>
      <c r="E47" t="s">
        <v>15</v>
      </c>
      <c r="F47" t="s">
        <v>40</v>
      </c>
      <c r="G47">
        <v>1</v>
      </c>
      <c r="H47" s="14">
        <v>1094</v>
      </c>
      <c r="I47" s="2">
        <v>45669</v>
      </c>
      <c r="J47" t="s">
        <v>75</v>
      </c>
      <c r="K47" t="str">
        <f>TEXT(PTABLE[[#This Row],[Sale_Date]],"MMM")</f>
        <v>Jan</v>
      </c>
    </row>
    <row r="48" spans="1:11" x14ac:dyDescent="0.15">
      <c r="A48">
        <v>1047</v>
      </c>
      <c r="B48" t="s">
        <v>118</v>
      </c>
      <c r="C48" t="s">
        <v>42</v>
      </c>
      <c r="D48" t="s">
        <v>21</v>
      </c>
      <c r="E48" t="s">
        <v>22</v>
      </c>
      <c r="F48" t="s">
        <v>26</v>
      </c>
      <c r="G48">
        <v>5</v>
      </c>
      <c r="H48" s="14">
        <v>1120</v>
      </c>
      <c r="I48" s="2">
        <v>45668</v>
      </c>
      <c r="J48" t="s">
        <v>75</v>
      </c>
      <c r="K48" t="str">
        <f>TEXT(PTABLE[[#This Row],[Sale_Date]],"MMM")</f>
        <v>Jan</v>
      </c>
    </row>
    <row r="49" spans="1:11" x14ac:dyDescent="0.15">
      <c r="A49">
        <v>1048</v>
      </c>
      <c r="B49" t="s">
        <v>48</v>
      </c>
      <c r="C49" t="s">
        <v>42</v>
      </c>
      <c r="D49" t="s">
        <v>39</v>
      </c>
      <c r="E49" t="s">
        <v>22</v>
      </c>
      <c r="F49" t="s">
        <v>23</v>
      </c>
      <c r="G49">
        <v>5</v>
      </c>
      <c r="H49" s="14">
        <v>1786</v>
      </c>
      <c r="I49" s="2">
        <v>45744</v>
      </c>
      <c r="J49" t="s">
        <v>17</v>
      </c>
      <c r="K49" t="str">
        <f>TEXT(PTABLE[[#This Row],[Sale_Date]],"MMM")</f>
        <v>Mar</v>
      </c>
    </row>
    <row r="50" spans="1:11" x14ac:dyDescent="0.15">
      <c r="A50">
        <v>1049</v>
      </c>
      <c r="B50" t="s">
        <v>119</v>
      </c>
      <c r="C50" t="s">
        <v>47</v>
      </c>
      <c r="D50" t="s">
        <v>39</v>
      </c>
      <c r="E50" t="s">
        <v>33</v>
      </c>
      <c r="F50" t="s">
        <v>23</v>
      </c>
      <c r="G50">
        <v>1</v>
      </c>
      <c r="H50" s="14">
        <v>1199</v>
      </c>
      <c r="I50" s="2">
        <v>45743</v>
      </c>
      <c r="J50" t="s">
        <v>73</v>
      </c>
      <c r="K50" t="str">
        <f>TEXT(PTABLE[[#This Row],[Sale_Date]],"MMM")</f>
        <v>Mar</v>
      </c>
    </row>
    <row r="51" spans="1:11" x14ac:dyDescent="0.15">
      <c r="A51">
        <v>1050</v>
      </c>
      <c r="B51" t="s">
        <v>46</v>
      </c>
      <c r="C51" t="s">
        <v>47</v>
      </c>
      <c r="D51" t="s">
        <v>32</v>
      </c>
      <c r="E51" t="s">
        <v>33</v>
      </c>
      <c r="F51" t="s">
        <v>40</v>
      </c>
      <c r="G51">
        <v>1</v>
      </c>
      <c r="H51" s="14">
        <v>733</v>
      </c>
      <c r="I51" s="2">
        <v>45669</v>
      </c>
      <c r="J51" t="s">
        <v>17</v>
      </c>
      <c r="K51" t="str">
        <f>TEXT(PTABLE[[#This Row],[Sale_Date]],"MMM")</f>
        <v>Jan</v>
      </c>
    </row>
    <row r="52" spans="1:11" x14ac:dyDescent="0.15">
      <c r="A52">
        <v>1051</v>
      </c>
      <c r="B52" t="s">
        <v>120</v>
      </c>
      <c r="C52" t="s">
        <v>13</v>
      </c>
      <c r="D52" t="s">
        <v>14</v>
      </c>
      <c r="E52" t="s">
        <v>22</v>
      </c>
      <c r="F52" t="s">
        <v>40</v>
      </c>
      <c r="G52">
        <v>5</v>
      </c>
      <c r="H52" s="14">
        <v>1113</v>
      </c>
      <c r="I52" s="2">
        <v>45679</v>
      </c>
      <c r="J52" t="s">
        <v>74</v>
      </c>
      <c r="K52" t="str">
        <f>TEXT(PTABLE[[#This Row],[Sale_Date]],"MMM")</f>
        <v>Jan</v>
      </c>
    </row>
    <row r="53" spans="1:11" x14ac:dyDescent="0.15">
      <c r="A53">
        <v>1052</v>
      </c>
      <c r="B53" t="s">
        <v>121</v>
      </c>
      <c r="C53" t="s">
        <v>35</v>
      </c>
      <c r="D53" t="s">
        <v>39</v>
      </c>
      <c r="E53" t="s">
        <v>15</v>
      </c>
      <c r="F53" t="s">
        <v>40</v>
      </c>
      <c r="G53">
        <v>5</v>
      </c>
      <c r="H53" s="14">
        <v>764</v>
      </c>
      <c r="I53" s="2">
        <v>45728</v>
      </c>
      <c r="J53" t="s">
        <v>73</v>
      </c>
      <c r="K53" t="str">
        <f>TEXT(PTABLE[[#This Row],[Sale_Date]],"MMM")</f>
        <v>Mar</v>
      </c>
    </row>
    <row r="54" spans="1:11" x14ac:dyDescent="0.15">
      <c r="A54">
        <v>1053</v>
      </c>
      <c r="B54" t="s">
        <v>122</v>
      </c>
      <c r="C54" t="s">
        <v>42</v>
      </c>
      <c r="D54" t="s">
        <v>32</v>
      </c>
      <c r="E54" t="s">
        <v>33</v>
      </c>
      <c r="F54" t="s">
        <v>23</v>
      </c>
      <c r="G54">
        <v>1</v>
      </c>
      <c r="H54" s="14">
        <v>1959</v>
      </c>
      <c r="I54" s="2">
        <v>45715</v>
      </c>
      <c r="J54" t="s">
        <v>75</v>
      </c>
      <c r="K54" t="str">
        <f>TEXT(PTABLE[[#This Row],[Sale_Date]],"MMM")</f>
        <v>Feb</v>
      </c>
    </row>
    <row r="55" spans="1:11" x14ac:dyDescent="0.15">
      <c r="A55">
        <v>1054</v>
      </c>
      <c r="B55" t="s">
        <v>123</v>
      </c>
      <c r="C55" t="s">
        <v>13</v>
      </c>
      <c r="D55" t="s">
        <v>39</v>
      </c>
      <c r="E55" t="s">
        <v>22</v>
      </c>
      <c r="F55" t="s">
        <v>26</v>
      </c>
      <c r="G55">
        <v>1</v>
      </c>
      <c r="H55" s="14">
        <v>1829</v>
      </c>
      <c r="I55" s="2">
        <v>45771</v>
      </c>
      <c r="J55" t="s">
        <v>74</v>
      </c>
      <c r="K55" t="str">
        <f>TEXT(PTABLE[[#This Row],[Sale_Date]],"MMM")</f>
        <v>Apr</v>
      </c>
    </row>
    <row r="56" spans="1:11" x14ac:dyDescent="0.15">
      <c r="A56">
        <v>1055</v>
      </c>
      <c r="B56" t="s">
        <v>124</v>
      </c>
      <c r="C56" t="s">
        <v>35</v>
      </c>
      <c r="D56" t="s">
        <v>32</v>
      </c>
      <c r="E56" t="s">
        <v>33</v>
      </c>
      <c r="F56" t="s">
        <v>40</v>
      </c>
      <c r="G56">
        <v>2</v>
      </c>
      <c r="H56" s="14">
        <v>899</v>
      </c>
      <c r="I56" s="2">
        <v>45757</v>
      </c>
      <c r="J56" t="s">
        <v>75</v>
      </c>
      <c r="K56" t="str">
        <f>TEXT(PTABLE[[#This Row],[Sale_Date]],"MMM")</f>
        <v>Apr</v>
      </c>
    </row>
    <row r="57" spans="1:11" x14ac:dyDescent="0.15">
      <c r="A57">
        <v>1056</v>
      </c>
      <c r="B57" t="s">
        <v>125</v>
      </c>
      <c r="C57" t="s">
        <v>42</v>
      </c>
      <c r="D57" t="s">
        <v>52</v>
      </c>
      <c r="E57" t="s">
        <v>15</v>
      </c>
      <c r="F57" t="s">
        <v>23</v>
      </c>
      <c r="G57">
        <v>5</v>
      </c>
      <c r="H57" s="14">
        <v>1250</v>
      </c>
      <c r="I57" s="2">
        <v>45659</v>
      </c>
      <c r="J57" t="s">
        <v>73</v>
      </c>
      <c r="K57" t="str">
        <f>TEXT(PTABLE[[#This Row],[Sale_Date]],"MMM")</f>
        <v>Jan</v>
      </c>
    </row>
    <row r="58" spans="1:11" x14ac:dyDescent="0.15">
      <c r="A58">
        <v>1057</v>
      </c>
      <c r="B58" t="s">
        <v>126</v>
      </c>
      <c r="C58" t="s">
        <v>35</v>
      </c>
      <c r="D58" t="s">
        <v>32</v>
      </c>
      <c r="E58" t="s">
        <v>22</v>
      </c>
      <c r="F58" t="s">
        <v>40</v>
      </c>
      <c r="G58">
        <v>1</v>
      </c>
      <c r="H58" s="14">
        <v>945</v>
      </c>
      <c r="I58" s="2">
        <v>45778</v>
      </c>
      <c r="J58" t="s">
        <v>73</v>
      </c>
      <c r="K58" t="str">
        <f>TEXT(PTABLE[[#This Row],[Sale_Date]],"MMM")</f>
        <v>May</v>
      </c>
    </row>
    <row r="59" spans="1:11" x14ac:dyDescent="0.15">
      <c r="A59">
        <v>1058</v>
      </c>
      <c r="B59" t="s">
        <v>127</v>
      </c>
      <c r="C59" t="s">
        <v>13</v>
      </c>
      <c r="D59" t="s">
        <v>14</v>
      </c>
      <c r="E59" t="s">
        <v>22</v>
      </c>
      <c r="F59" t="s">
        <v>16</v>
      </c>
      <c r="G59">
        <v>5</v>
      </c>
      <c r="H59" s="14">
        <v>1752</v>
      </c>
      <c r="I59" s="2">
        <v>45758</v>
      </c>
      <c r="J59" t="s">
        <v>73</v>
      </c>
      <c r="K59" t="str">
        <f>TEXT(PTABLE[[#This Row],[Sale_Date]],"MMM")</f>
        <v>Apr</v>
      </c>
    </row>
    <row r="60" spans="1:11" x14ac:dyDescent="0.15">
      <c r="A60">
        <v>1059</v>
      </c>
      <c r="B60" t="s">
        <v>128</v>
      </c>
      <c r="C60" t="s">
        <v>35</v>
      </c>
      <c r="D60" t="s">
        <v>32</v>
      </c>
      <c r="E60" t="s">
        <v>15</v>
      </c>
      <c r="F60" t="s">
        <v>29</v>
      </c>
      <c r="G60">
        <v>4</v>
      </c>
      <c r="H60" s="14">
        <v>1909</v>
      </c>
      <c r="I60" s="2">
        <v>45760</v>
      </c>
      <c r="J60" t="s">
        <v>73</v>
      </c>
      <c r="K60" t="str">
        <f>TEXT(PTABLE[[#This Row],[Sale_Date]],"MMM")</f>
        <v>Apr</v>
      </c>
    </row>
    <row r="61" spans="1:11" x14ac:dyDescent="0.15">
      <c r="A61">
        <v>1060</v>
      </c>
      <c r="B61" t="s">
        <v>129</v>
      </c>
      <c r="C61" t="s">
        <v>20</v>
      </c>
      <c r="D61" t="s">
        <v>32</v>
      </c>
      <c r="E61" t="s">
        <v>15</v>
      </c>
      <c r="F61" t="s">
        <v>40</v>
      </c>
      <c r="G61">
        <v>5</v>
      </c>
      <c r="H61" s="14">
        <v>1714</v>
      </c>
      <c r="I61" s="2">
        <v>45669</v>
      </c>
      <c r="J61" t="s">
        <v>74</v>
      </c>
      <c r="K61" t="str">
        <f>TEXT(PTABLE[[#This Row],[Sale_Date]],"MMM")</f>
        <v>Jan</v>
      </c>
    </row>
    <row r="62" spans="1:11" x14ac:dyDescent="0.15">
      <c r="A62">
        <v>1061</v>
      </c>
      <c r="B62" t="s">
        <v>130</v>
      </c>
      <c r="C62" t="s">
        <v>67</v>
      </c>
      <c r="D62" t="s">
        <v>52</v>
      </c>
      <c r="E62" t="s">
        <v>15</v>
      </c>
      <c r="F62" t="s">
        <v>23</v>
      </c>
      <c r="G62">
        <v>5</v>
      </c>
      <c r="H62" s="14">
        <v>1519</v>
      </c>
      <c r="I62" s="2">
        <v>45709</v>
      </c>
      <c r="J62" t="s">
        <v>73</v>
      </c>
      <c r="K62" t="str">
        <f>TEXT(PTABLE[[#This Row],[Sale_Date]],"MMM")</f>
        <v>Feb</v>
      </c>
    </row>
    <row r="63" spans="1:11" x14ac:dyDescent="0.15">
      <c r="A63">
        <v>1062</v>
      </c>
      <c r="B63" t="s">
        <v>131</v>
      </c>
      <c r="C63" t="s">
        <v>47</v>
      </c>
      <c r="D63" t="s">
        <v>28</v>
      </c>
      <c r="E63" t="s">
        <v>15</v>
      </c>
      <c r="F63" t="s">
        <v>16</v>
      </c>
      <c r="G63">
        <v>4</v>
      </c>
      <c r="H63" s="14">
        <v>1769</v>
      </c>
      <c r="I63" s="2">
        <v>45752</v>
      </c>
      <c r="J63" t="s">
        <v>75</v>
      </c>
      <c r="K63" t="str">
        <f>TEXT(PTABLE[[#This Row],[Sale_Date]],"MMM")</f>
        <v>Apr</v>
      </c>
    </row>
    <row r="64" spans="1:11" x14ac:dyDescent="0.15">
      <c r="A64">
        <v>1063</v>
      </c>
      <c r="B64" t="s">
        <v>132</v>
      </c>
      <c r="C64" t="s">
        <v>47</v>
      </c>
      <c r="D64" t="s">
        <v>14</v>
      </c>
      <c r="E64" t="s">
        <v>33</v>
      </c>
      <c r="F64" t="s">
        <v>26</v>
      </c>
      <c r="G64">
        <v>5</v>
      </c>
      <c r="H64" s="14">
        <v>1644</v>
      </c>
      <c r="I64" s="2">
        <v>45709</v>
      </c>
      <c r="J64" t="s">
        <v>74</v>
      </c>
      <c r="K64" t="str">
        <f>TEXT(PTABLE[[#This Row],[Sale_Date]],"MMM")</f>
        <v>Feb</v>
      </c>
    </row>
    <row r="65" spans="1:11" x14ac:dyDescent="0.15">
      <c r="A65">
        <v>1064</v>
      </c>
      <c r="B65" t="s">
        <v>44</v>
      </c>
      <c r="C65" t="s">
        <v>13</v>
      </c>
      <c r="D65" t="s">
        <v>14</v>
      </c>
      <c r="E65" t="s">
        <v>15</v>
      </c>
      <c r="F65" t="s">
        <v>29</v>
      </c>
      <c r="G65">
        <v>2</v>
      </c>
      <c r="H65" s="14">
        <v>1991</v>
      </c>
      <c r="I65" s="2">
        <v>45685</v>
      </c>
      <c r="J65" t="s">
        <v>17</v>
      </c>
      <c r="K65" t="str">
        <f>TEXT(PTABLE[[#This Row],[Sale_Date]],"MMM")</f>
        <v>Jan</v>
      </c>
    </row>
    <row r="66" spans="1:11" x14ac:dyDescent="0.15">
      <c r="A66">
        <v>1065</v>
      </c>
      <c r="B66" t="s">
        <v>133</v>
      </c>
      <c r="C66" t="s">
        <v>47</v>
      </c>
      <c r="D66" t="s">
        <v>39</v>
      </c>
      <c r="E66" t="s">
        <v>22</v>
      </c>
      <c r="F66" t="s">
        <v>26</v>
      </c>
      <c r="G66">
        <v>3</v>
      </c>
      <c r="H66" s="14">
        <v>1706</v>
      </c>
      <c r="I66" s="2">
        <v>45661</v>
      </c>
      <c r="J66" t="s">
        <v>73</v>
      </c>
      <c r="K66" t="str">
        <f>TEXT(PTABLE[[#This Row],[Sale_Date]],"MMM")</f>
        <v>Jan</v>
      </c>
    </row>
    <row r="67" spans="1:11" x14ac:dyDescent="0.15">
      <c r="A67">
        <v>1066</v>
      </c>
      <c r="B67" t="s">
        <v>134</v>
      </c>
      <c r="C67" t="s">
        <v>42</v>
      </c>
      <c r="D67" t="s">
        <v>39</v>
      </c>
      <c r="E67" t="s">
        <v>22</v>
      </c>
      <c r="F67" t="s">
        <v>26</v>
      </c>
      <c r="G67">
        <v>1</v>
      </c>
      <c r="H67" s="14">
        <v>1884</v>
      </c>
      <c r="I67" s="2">
        <v>45744</v>
      </c>
      <c r="J67" t="s">
        <v>73</v>
      </c>
      <c r="K67" t="str">
        <f>TEXT(PTABLE[[#This Row],[Sale_Date]],"MMM")</f>
        <v>Mar</v>
      </c>
    </row>
    <row r="68" spans="1:11" x14ac:dyDescent="0.15">
      <c r="A68">
        <v>1067</v>
      </c>
      <c r="B68" t="s">
        <v>135</v>
      </c>
      <c r="C68" t="s">
        <v>47</v>
      </c>
      <c r="D68" t="s">
        <v>32</v>
      </c>
      <c r="E68" t="s">
        <v>33</v>
      </c>
      <c r="F68" t="s">
        <v>40</v>
      </c>
      <c r="G68">
        <v>3</v>
      </c>
      <c r="H68" s="14">
        <v>1027</v>
      </c>
      <c r="I68" s="2">
        <v>45769</v>
      </c>
      <c r="J68" t="s">
        <v>73</v>
      </c>
      <c r="K68" t="str">
        <f>TEXT(PTABLE[[#This Row],[Sale_Date]],"MMM")</f>
        <v>Apr</v>
      </c>
    </row>
    <row r="69" spans="1:11" x14ac:dyDescent="0.15">
      <c r="A69">
        <v>1068</v>
      </c>
      <c r="B69" t="s">
        <v>136</v>
      </c>
      <c r="C69" t="s">
        <v>35</v>
      </c>
      <c r="D69" t="s">
        <v>14</v>
      </c>
      <c r="E69" t="s">
        <v>33</v>
      </c>
      <c r="F69" t="s">
        <v>23</v>
      </c>
      <c r="G69">
        <v>2</v>
      </c>
      <c r="H69" s="14">
        <v>788</v>
      </c>
      <c r="I69" s="2">
        <v>45752</v>
      </c>
      <c r="J69" t="s">
        <v>74</v>
      </c>
      <c r="K69" t="str">
        <f>TEXT(PTABLE[[#This Row],[Sale_Date]],"MMM")</f>
        <v>Apr</v>
      </c>
    </row>
    <row r="70" spans="1:11" x14ac:dyDescent="0.15">
      <c r="A70">
        <v>1069</v>
      </c>
      <c r="B70" t="s">
        <v>137</v>
      </c>
      <c r="C70" t="s">
        <v>20</v>
      </c>
      <c r="D70" t="s">
        <v>32</v>
      </c>
      <c r="E70" t="s">
        <v>33</v>
      </c>
      <c r="F70" t="s">
        <v>26</v>
      </c>
      <c r="G70">
        <v>3</v>
      </c>
      <c r="H70" s="14">
        <v>796</v>
      </c>
      <c r="I70" s="2">
        <v>45682</v>
      </c>
      <c r="J70" t="s">
        <v>75</v>
      </c>
      <c r="K70" t="str">
        <f>TEXT(PTABLE[[#This Row],[Sale_Date]],"MMM")</f>
        <v>Jan</v>
      </c>
    </row>
    <row r="71" spans="1:11" x14ac:dyDescent="0.15">
      <c r="A71">
        <v>1070</v>
      </c>
      <c r="B71" t="s">
        <v>138</v>
      </c>
      <c r="C71" t="s">
        <v>47</v>
      </c>
      <c r="D71" t="s">
        <v>32</v>
      </c>
      <c r="E71" t="s">
        <v>15</v>
      </c>
      <c r="F71" t="s">
        <v>40</v>
      </c>
      <c r="G71">
        <v>4</v>
      </c>
      <c r="H71" s="14">
        <v>1829</v>
      </c>
      <c r="I71" s="2">
        <v>45670</v>
      </c>
      <c r="J71" t="s">
        <v>74</v>
      </c>
      <c r="K71" t="str">
        <f>TEXT(PTABLE[[#This Row],[Sale_Date]],"MMM")</f>
        <v>Jan</v>
      </c>
    </row>
    <row r="72" spans="1:11" x14ac:dyDescent="0.15">
      <c r="A72">
        <v>1071</v>
      </c>
      <c r="B72" t="s">
        <v>43</v>
      </c>
      <c r="C72" t="s">
        <v>13</v>
      </c>
      <c r="D72" t="s">
        <v>21</v>
      </c>
      <c r="E72" t="s">
        <v>15</v>
      </c>
      <c r="F72" t="s">
        <v>16</v>
      </c>
      <c r="G72">
        <v>2</v>
      </c>
      <c r="H72" s="14">
        <v>1977</v>
      </c>
      <c r="I72" s="2">
        <v>45667</v>
      </c>
      <c r="J72" t="s">
        <v>17</v>
      </c>
      <c r="K72" t="str">
        <f>TEXT(PTABLE[[#This Row],[Sale_Date]],"MMM")</f>
        <v>Jan</v>
      </c>
    </row>
    <row r="73" spans="1:11" x14ac:dyDescent="0.15">
      <c r="A73">
        <v>1072</v>
      </c>
      <c r="B73" t="s">
        <v>139</v>
      </c>
      <c r="C73" t="s">
        <v>67</v>
      </c>
      <c r="D73" t="s">
        <v>21</v>
      </c>
      <c r="E73" t="s">
        <v>33</v>
      </c>
      <c r="F73" t="s">
        <v>29</v>
      </c>
      <c r="G73">
        <v>5</v>
      </c>
      <c r="H73" s="14">
        <v>1964</v>
      </c>
      <c r="I73" s="2">
        <v>45694</v>
      </c>
      <c r="J73" t="s">
        <v>73</v>
      </c>
      <c r="K73" t="str">
        <f>TEXT(PTABLE[[#This Row],[Sale_Date]],"MMM")</f>
        <v>Feb</v>
      </c>
    </row>
    <row r="74" spans="1:11" x14ac:dyDescent="0.15">
      <c r="A74">
        <v>1073</v>
      </c>
      <c r="B74" t="s">
        <v>41</v>
      </c>
      <c r="C74" t="s">
        <v>42</v>
      </c>
      <c r="D74" t="s">
        <v>32</v>
      </c>
      <c r="E74" t="s">
        <v>33</v>
      </c>
      <c r="F74" t="s">
        <v>29</v>
      </c>
      <c r="G74">
        <v>2</v>
      </c>
      <c r="H74" s="14">
        <v>1629</v>
      </c>
      <c r="I74" s="2">
        <v>45685</v>
      </c>
      <c r="J74" t="s">
        <v>17</v>
      </c>
      <c r="K74" t="str">
        <f>TEXT(PTABLE[[#This Row],[Sale_Date]],"MMM")</f>
        <v>Jan</v>
      </c>
    </row>
    <row r="75" spans="1:11" x14ac:dyDescent="0.15">
      <c r="A75">
        <v>1074</v>
      </c>
      <c r="B75" t="s">
        <v>140</v>
      </c>
      <c r="C75" t="s">
        <v>20</v>
      </c>
      <c r="D75" t="s">
        <v>14</v>
      </c>
      <c r="E75" t="s">
        <v>22</v>
      </c>
      <c r="F75" t="s">
        <v>26</v>
      </c>
      <c r="G75">
        <v>1</v>
      </c>
      <c r="H75" s="14">
        <v>1987</v>
      </c>
      <c r="I75" s="2">
        <v>45772</v>
      </c>
      <c r="J75" t="s">
        <v>75</v>
      </c>
      <c r="K75" t="str">
        <f>TEXT(PTABLE[[#This Row],[Sale_Date]],"MMM")</f>
        <v>Apr</v>
      </c>
    </row>
    <row r="76" spans="1:11" x14ac:dyDescent="0.15">
      <c r="A76">
        <v>1075</v>
      </c>
      <c r="B76" t="s">
        <v>38</v>
      </c>
      <c r="C76" t="s">
        <v>20</v>
      </c>
      <c r="D76" t="s">
        <v>39</v>
      </c>
      <c r="E76" t="s">
        <v>15</v>
      </c>
      <c r="F76" t="s">
        <v>40</v>
      </c>
      <c r="G76">
        <v>4</v>
      </c>
      <c r="H76" s="14">
        <v>1547</v>
      </c>
      <c r="I76" s="2">
        <v>45667</v>
      </c>
      <c r="J76" t="s">
        <v>17</v>
      </c>
      <c r="K76" t="str">
        <f>TEXT(PTABLE[[#This Row],[Sale_Date]],"MMM")</f>
        <v>Jan</v>
      </c>
    </row>
    <row r="77" spans="1:11" x14ac:dyDescent="0.15">
      <c r="A77">
        <v>1076</v>
      </c>
      <c r="B77" t="s">
        <v>37</v>
      </c>
      <c r="C77" t="s">
        <v>13</v>
      </c>
      <c r="D77" t="s">
        <v>32</v>
      </c>
      <c r="E77" t="s">
        <v>22</v>
      </c>
      <c r="F77" t="s">
        <v>29</v>
      </c>
      <c r="G77">
        <v>5</v>
      </c>
      <c r="H77" s="14">
        <v>1923</v>
      </c>
      <c r="I77" s="2">
        <v>45759</v>
      </c>
      <c r="J77" t="s">
        <v>17</v>
      </c>
      <c r="K77" t="str">
        <f>TEXT(PTABLE[[#This Row],[Sale_Date]],"MMM")</f>
        <v>Apr</v>
      </c>
    </row>
    <row r="78" spans="1:11" x14ac:dyDescent="0.15">
      <c r="A78">
        <v>1077</v>
      </c>
      <c r="B78" t="s">
        <v>141</v>
      </c>
      <c r="C78" t="s">
        <v>67</v>
      </c>
      <c r="D78" t="s">
        <v>32</v>
      </c>
      <c r="E78" t="s">
        <v>15</v>
      </c>
      <c r="F78" t="s">
        <v>40</v>
      </c>
      <c r="G78">
        <v>2</v>
      </c>
      <c r="H78" s="14">
        <v>1477</v>
      </c>
      <c r="I78" s="2">
        <v>45715</v>
      </c>
      <c r="J78" t="s">
        <v>75</v>
      </c>
      <c r="K78" t="str">
        <f>TEXT(PTABLE[[#This Row],[Sale_Date]],"MMM")</f>
        <v>Feb</v>
      </c>
    </row>
    <row r="79" spans="1:11" x14ac:dyDescent="0.15">
      <c r="A79">
        <v>1078</v>
      </c>
      <c r="B79" t="s">
        <v>34</v>
      </c>
      <c r="C79" t="s">
        <v>35</v>
      </c>
      <c r="D79" t="s">
        <v>28</v>
      </c>
      <c r="E79" t="s">
        <v>33</v>
      </c>
      <c r="F79" t="s">
        <v>16</v>
      </c>
      <c r="G79">
        <v>4</v>
      </c>
      <c r="H79" s="14">
        <v>1464</v>
      </c>
      <c r="I79" s="2">
        <v>45672</v>
      </c>
      <c r="J79" t="s">
        <v>17</v>
      </c>
      <c r="K79" t="str">
        <f>TEXT(PTABLE[[#This Row],[Sale_Date]],"MMM")</f>
        <v>Jan</v>
      </c>
    </row>
    <row r="80" spans="1:11" x14ac:dyDescent="0.15">
      <c r="A80">
        <v>1079</v>
      </c>
      <c r="B80" t="s">
        <v>142</v>
      </c>
      <c r="C80" t="s">
        <v>42</v>
      </c>
      <c r="D80" t="s">
        <v>52</v>
      </c>
      <c r="E80" t="s">
        <v>33</v>
      </c>
      <c r="F80" t="s">
        <v>16</v>
      </c>
      <c r="G80">
        <v>3</v>
      </c>
      <c r="H80" s="14">
        <v>1790</v>
      </c>
      <c r="I80" s="2">
        <v>45700</v>
      </c>
      <c r="J80" t="s">
        <v>74</v>
      </c>
      <c r="K80" t="str">
        <f>TEXT(PTABLE[[#This Row],[Sale_Date]],"MMM")</f>
        <v>Feb</v>
      </c>
    </row>
    <row r="81" spans="1:11" x14ac:dyDescent="0.15">
      <c r="A81">
        <v>1080</v>
      </c>
      <c r="B81" t="s">
        <v>143</v>
      </c>
      <c r="C81" t="s">
        <v>42</v>
      </c>
      <c r="D81" t="s">
        <v>52</v>
      </c>
      <c r="E81" t="s">
        <v>15</v>
      </c>
      <c r="F81" t="s">
        <v>16</v>
      </c>
      <c r="G81">
        <v>4</v>
      </c>
      <c r="H81" s="14">
        <v>1819</v>
      </c>
      <c r="I81" s="2">
        <v>45712</v>
      </c>
      <c r="J81" t="s">
        <v>73</v>
      </c>
      <c r="K81" t="str">
        <f>TEXT(PTABLE[[#This Row],[Sale_Date]],"MMM")</f>
        <v>Feb</v>
      </c>
    </row>
    <row r="82" spans="1:11" x14ac:dyDescent="0.15">
      <c r="A82">
        <v>1081</v>
      </c>
      <c r="B82" t="s">
        <v>144</v>
      </c>
      <c r="C82" t="s">
        <v>35</v>
      </c>
      <c r="D82" t="s">
        <v>28</v>
      </c>
      <c r="E82" t="s">
        <v>22</v>
      </c>
      <c r="F82" t="s">
        <v>16</v>
      </c>
      <c r="G82">
        <v>5</v>
      </c>
      <c r="H82" s="14">
        <v>1579</v>
      </c>
      <c r="I82" s="2">
        <v>45721</v>
      </c>
      <c r="J82" t="s">
        <v>74</v>
      </c>
      <c r="K82" t="str">
        <f>TEXT(PTABLE[[#This Row],[Sale_Date]],"MMM")</f>
        <v>Mar</v>
      </c>
    </row>
    <row r="83" spans="1:11" x14ac:dyDescent="0.15">
      <c r="A83">
        <v>1082</v>
      </c>
      <c r="B83" t="s">
        <v>145</v>
      </c>
      <c r="C83" t="s">
        <v>13</v>
      </c>
      <c r="D83" t="s">
        <v>14</v>
      </c>
      <c r="E83" t="s">
        <v>22</v>
      </c>
      <c r="F83" t="s">
        <v>40</v>
      </c>
      <c r="G83">
        <v>1</v>
      </c>
      <c r="H83" s="14">
        <v>756</v>
      </c>
      <c r="I83" s="2">
        <v>45744</v>
      </c>
      <c r="J83" t="s">
        <v>73</v>
      </c>
      <c r="K83" t="str">
        <f>TEXT(PTABLE[[#This Row],[Sale_Date]],"MMM")</f>
        <v>Mar</v>
      </c>
    </row>
    <row r="84" spans="1:11" x14ac:dyDescent="0.15">
      <c r="A84">
        <v>1083</v>
      </c>
      <c r="B84" t="s">
        <v>31</v>
      </c>
      <c r="C84" t="s">
        <v>13</v>
      </c>
      <c r="D84" t="s">
        <v>32</v>
      </c>
      <c r="E84" t="s">
        <v>33</v>
      </c>
      <c r="F84" t="s">
        <v>26</v>
      </c>
      <c r="G84">
        <v>3</v>
      </c>
      <c r="H84" s="14">
        <v>1165</v>
      </c>
      <c r="I84" s="2">
        <v>45724</v>
      </c>
      <c r="J84" t="s">
        <v>17</v>
      </c>
      <c r="K84" t="str">
        <f>TEXT(PTABLE[[#This Row],[Sale_Date]],"MMM")</f>
        <v>Mar</v>
      </c>
    </row>
    <row r="85" spans="1:11" x14ac:dyDescent="0.15">
      <c r="A85">
        <v>1084</v>
      </c>
      <c r="B85" t="s">
        <v>27</v>
      </c>
      <c r="C85" t="s">
        <v>20</v>
      </c>
      <c r="D85" t="s">
        <v>28</v>
      </c>
      <c r="E85" t="s">
        <v>22</v>
      </c>
      <c r="F85" t="s">
        <v>29</v>
      </c>
      <c r="G85">
        <v>5</v>
      </c>
      <c r="H85" s="14">
        <v>1229</v>
      </c>
      <c r="I85" s="2">
        <v>45738</v>
      </c>
      <c r="J85" t="s">
        <v>17</v>
      </c>
      <c r="K85" t="str">
        <f>TEXT(PTABLE[[#This Row],[Sale_Date]],"MMM")</f>
        <v>Mar</v>
      </c>
    </row>
    <row r="86" spans="1:11" x14ac:dyDescent="0.15">
      <c r="A86">
        <v>1085</v>
      </c>
      <c r="B86" t="s">
        <v>25</v>
      </c>
      <c r="C86" t="s">
        <v>13</v>
      </c>
      <c r="D86" t="s">
        <v>21</v>
      </c>
      <c r="E86" t="s">
        <v>22</v>
      </c>
      <c r="F86" t="s">
        <v>26</v>
      </c>
      <c r="G86">
        <v>4</v>
      </c>
      <c r="H86" s="14">
        <v>1656</v>
      </c>
      <c r="I86" s="2">
        <v>45759</v>
      </c>
      <c r="J86" t="s">
        <v>17</v>
      </c>
      <c r="K86" t="str">
        <f>TEXT(PTABLE[[#This Row],[Sale_Date]],"MMM")</f>
        <v>Apr</v>
      </c>
    </row>
    <row r="87" spans="1:11" x14ac:dyDescent="0.15">
      <c r="A87">
        <v>1086</v>
      </c>
      <c r="B87" t="s">
        <v>19</v>
      </c>
      <c r="C87" t="s">
        <v>20</v>
      </c>
      <c r="D87" t="s">
        <v>21</v>
      </c>
      <c r="E87" t="s">
        <v>22</v>
      </c>
      <c r="F87" t="s">
        <v>23</v>
      </c>
      <c r="G87">
        <v>2</v>
      </c>
      <c r="H87" s="14">
        <v>950</v>
      </c>
      <c r="I87" s="2">
        <v>45755</v>
      </c>
      <c r="J87" t="s">
        <v>17</v>
      </c>
      <c r="K87" t="str">
        <f>TEXT(PTABLE[[#This Row],[Sale_Date]],"MMM")</f>
        <v>Apr</v>
      </c>
    </row>
    <row r="88" spans="1:11" x14ac:dyDescent="0.15">
      <c r="A88">
        <v>1087</v>
      </c>
      <c r="B88" t="s">
        <v>146</v>
      </c>
      <c r="C88" t="s">
        <v>47</v>
      </c>
      <c r="D88" t="s">
        <v>52</v>
      </c>
      <c r="E88" t="s">
        <v>33</v>
      </c>
      <c r="F88" t="s">
        <v>26</v>
      </c>
      <c r="G88">
        <v>1</v>
      </c>
      <c r="H88" s="14">
        <v>1903</v>
      </c>
      <c r="I88" s="2">
        <v>45659</v>
      </c>
      <c r="J88" t="s">
        <v>75</v>
      </c>
      <c r="K88" t="str">
        <f>TEXT(PTABLE[[#This Row],[Sale_Date]],"MMM")</f>
        <v>Jan</v>
      </c>
    </row>
    <row r="89" spans="1:11" x14ac:dyDescent="0.15">
      <c r="A89">
        <v>1088</v>
      </c>
      <c r="B89" t="s">
        <v>12</v>
      </c>
      <c r="C89" t="s">
        <v>13</v>
      </c>
      <c r="D89" t="s">
        <v>14</v>
      </c>
      <c r="E89" t="s">
        <v>15</v>
      </c>
      <c r="F89" t="s">
        <v>16</v>
      </c>
      <c r="G89">
        <v>5</v>
      </c>
      <c r="H89" s="14">
        <v>718</v>
      </c>
      <c r="I89" s="2">
        <v>45692</v>
      </c>
      <c r="J89" t="s">
        <v>17</v>
      </c>
      <c r="K89" t="str">
        <f>TEXT(PTABLE[[#This Row],[Sale_Date]],"MMM")</f>
        <v>Feb</v>
      </c>
    </row>
    <row r="90" spans="1:11" x14ac:dyDescent="0.15">
      <c r="A90">
        <v>1089</v>
      </c>
      <c r="B90" t="s">
        <v>147</v>
      </c>
      <c r="C90" t="s">
        <v>42</v>
      </c>
      <c r="D90" t="s">
        <v>28</v>
      </c>
      <c r="E90" t="s">
        <v>22</v>
      </c>
      <c r="F90" t="s">
        <v>26</v>
      </c>
      <c r="G90">
        <v>3</v>
      </c>
      <c r="H90" s="14">
        <v>1249</v>
      </c>
      <c r="I90" s="2">
        <v>45669</v>
      </c>
      <c r="J90" t="s">
        <v>73</v>
      </c>
      <c r="K90" t="str">
        <f>TEXT(PTABLE[[#This Row],[Sale_Date]],"MMM")</f>
        <v>Jan</v>
      </c>
    </row>
    <row r="91" spans="1:11" x14ac:dyDescent="0.15">
      <c r="A91">
        <v>1090</v>
      </c>
      <c r="B91" t="s">
        <v>148</v>
      </c>
      <c r="C91" t="s">
        <v>42</v>
      </c>
      <c r="D91" t="s">
        <v>21</v>
      </c>
      <c r="E91" t="s">
        <v>22</v>
      </c>
      <c r="F91" t="s">
        <v>26</v>
      </c>
      <c r="G91">
        <v>3</v>
      </c>
      <c r="H91" s="14">
        <v>887</v>
      </c>
      <c r="I91" s="2">
        <v>45705</v>
      </c>
      <c r="J91" t="s">
        <v>73</v>
      </c>
      <c r="K91" t="str">
        <f>TEXT(PTABLE[[#This Row],[Sale_Date]],"MMM")</f>
        <v>Feb</v>
      </c>
    </row>
    <row r="92" spans="1:11" x14ac:dyDescent="0.15">
      <c r="A92">
        <v>1091</v>
      </c>
      <c r="B92" t="s">
        <v>149</v>
      </c>
      <c r="C92" t="s">
        <v>67</v>
      </c>
      <c r="D92" t="s">
        <v>52</v>
      </c>
      <c r="E92" t="s">
        <v>22</v>
      </c>
      <c r="F92" t="s">
        <v>29</v>
      </c>
      <c r="G92">
        <v>5</v>
      </c>
      <c r="H92" s="14">
        <v>1357</v>
      </c>
      <c r="I92" s="2">
        <v>45738</v>
      </c>
      <c r="J92" t="s">
        <v>75</v>
      </c>
      <c r="K92" t="str">
        <f>TEXT(PTABLE[[#This Row],[Sale_Date]],"MMM")</f>
        <v>Mar</v>
      </c>
    </row>
    <row r="93" spans="1:11" x14ac:dyDescent="0.15">
      <c r="A93">
        <v>1092</v>
      </c>
      <c r="B93" t="s">
        <v>150</v>
      </c>
      <c r="C93" t="s">
        <v>67</v>
      </c>
      <c r="D93" t="s">
        <v>14</v>
      </c>
      <c r="E93" t="s">
        <v>22</v>
      </c>
      <c r="F93" t="s">
        <v>26</v>
      </c>
      <c r="G93">
        <v>3</v>
      </c>
      <c r="H93" s="14">
        <v>1361</v>
      </c>
      <c r="I93" s="2">
        <v>45698</v>
      </c>
      <c r="J93" t="s">
        <v>74</v>
      </c>
      <c r="K93" t="str">
        <f>TEXT(PTABLE[[#This Row],[Sale_Date]],"MMM")</f>
        <v>Feb</v>
      </c>
    </row>
    <row r="94" spans="1:11" x14ac:dyDescent="0.15">
      <c r="A94">
        <v>1093</v>
      </c>
      <c r="B94" t="s">
        <v>151</v>
      </c>
      <c r="C94" t="s">
        <v>13</v>
      </c>
      <c r="D94" t="s">
        <v>21</v>
      </c>
      <c r="E94" t="s">
        <v>22</v>
      </c>
      <c r="F94" t="s">
        <v>23</v>
      </c>
      <c r="G94">
        <v>3</v>
      </c>
      <c r="H94" s="14">
        <v>1971</v>
      </c>
      <c r="I94" s="2">
        <v>45677</v>
      </c>
      <c r="J94" t="s">
        <v>74</v>
      </c>
      <c r="K94" t="str">
        <f>TEXT(PTABLE[[#This Row],[Sale_Date]],"MMM")</f>
        <v>Jan</v>
      </c>
    </row>
    <row r="95" spans="1:11" x14ac:dyDescent="0.15">
      <c r="A95">
        <v>1094</v>
      </c>
      <c r="B95" t="s">
        <v>152</v>
      </c>
      <c r="C95" t="s">
        <v>42</v>
      </c>
      <c r="D95" t="s">
        <v>14</v>
      </c>
      <c r="E95" t="s">
        <v>15</v>
      </c>
      <c r="F95" t="s">
        <v>26</v>
      </c>
      <c r="G95">
        <v>1</v>
      </c>
      <c r="H95" s="14">
        <v>1622</v>
      </c>
      <c r="I95" s="2">
        <v>45738</v>
      </c>
      <c r="J95" t="s">
        <v>74</v>
      </c>
      <c r="K95" t="str">
        <f>TEXT(PTABLE[[#This Row],[Sale_Date]],"MMM")</f>
        <v>Mar</v>
      </c>
    </row>
    <row r="96" spans="1:11" x14ac:dyDescent="0.15">
      <c r="A96">
        <v>1095</v>
      </c>
      <c r="B96" t="s">
        <v>153</v>
      </c>
      <c r="C96" t="s">
        <v>47</v>
      </c>
      <c r="D96" t="s">
        <v>28</v>
      </c>
      <c r="E96" t="s">
        <v>33</v>
      </c>
      <c r="F96" t="s">
        <v>26</v>
      </c>
      <c r="G96">
        <v>4</v>
      </c>
      <c r="H96" s="14">
        <v>1388</v>
      </c>
      <c r="I96" s="2">
        <v>45663</v>
      </c>
      <c r="J96" t="s">
        <v>74</v>
      </c>
      <c r="K96" t="str">
        <f>TEXT(PTABLE[[#This Row],[Sale_Date]],"MMM")</f>
        <v>Jan</v>
      </c>
    </row>
    <row r="97" spans="1:11" x14ac:dyDescent="0.15">
      <c r="A97">
        <v>1096</v>
      </c>
      <c r="B97" t="s">
        <v>154</v>
      </c>
      <c r="C97" t="s">
        <v>67</v>
      </c>
      <c r="D97" t="s">
        <v>32</v>
      </c>
      <c r="E97" t="s">
        <v>22</v>
      </c>
      <c r="F97" t="s">
        <v>40</v>
      </c>
      <c r="G97">
        <v>1</v>
      </c>
      <c r="H97" s="14">
        <v>1743</v>
      </c>
      <c r="I97" s="2">
        <v>45725</v>
      </c>
      <c r="J97" t="s">
        <v>74</v>
      </c>
      <c r="K97" t="str">
        <f>TEXT(PTABLE[[#This Row],[Sale_Date]],"MMM")</f>
        <v>Mar</v>
      </c>
    </row>
    <row r="98" spans="1:11" x14ac:dyDescent="0.15">
      <c r="A98">
        <v>1097</v>
      </c>
      <c r="B98" t="s">
        <v>155</v>
      </c>
      <c r="C98" t="s">
        <v>13</v>
      </c>
      <c r="D98" t="s">
        <v>14</v>
      </c>
      <c r="E98" t="s">
        <v>15</v>
      </c>
      <c r="F98" t="s">
        <v>26</v>
      </c>
      <c r="G98">
        <v>3</v>
      </c>
      <c r="H98" s="14">
        <v>1671</v>
      </c>
      <c r="I98" s="2">
        <v>45696</v>
      </c>
      <c r="J98" t="s">
        <v>74</v>
      </c>
      <c r="K98" t="str">
        <f>TEXT(PTABLE[[#This Row],[Sale_Date]],"MMM")</f>
        <v>Feb</v>
      </c>
    </row>
    <row r="99" spans="1:11" x14ac:dyDescent="0.15">
      <c r="A99">
        <v>1098</v>
      </c>
      <c r="B99" t="s">
        <v>156</v>
      </c>
      <c r="C99" t="s">
        <v>13</v>
      </c>
      <c r="D99" t="s">
        <v>14</v>
      </c>
      <c r="E99" t="s">
        <v>15</v>
      </c>
      <c r="F99" t="s">
        <v>26</v>
      </c>
      <c r="G99">
        <v>4</v>
      </c>
      <c r="H99" s="14">
        <v>1125</v>
      </c>
      <c r="I99" s="2">
        <v>45665</v>
      </c>
      <c r="J99" t="s">
        <v>73</v>
      </c>
      <c r="K99" t="str">
        <f>TEXT(PTABLE[[#This Row],[Sale_Date]],"MMM")</f>
        <v>Jan</v>
      </c>
    </row>
    <row r="100" spans="1:11" x14ac:dyDescent="0.15">
      <c r="A100">
        <v>1099</v>
      </c>
      <c r="B100" t="s">
        <v>157</v>
      </c>
      <c r="C100" t="s">
        <v>20</v>
      </c>
      <c r="D100" t="s">
        <v>14</v>
      </c>
      <c r="E100" t="s">
        <v>15</v>
      </c>
      <c r="F100" t="s">
        <v>16</v>
      </c>
      <c r="G100">
        <v>5</v>
      </c>
      <c r="H100" s="14">
        <v>1540</v>
      </c>
      <c r="I100" s="2">
        <v>45692</v>
      </c>
      <c r="J100" t="s">
        <v>73</v>
      </c>
      <c r="K100" t="str">
        <f>TEXT(PTABLE[[#This Row],[Sale_Date]],"MMM")</f>
        <v>Feb</v>
      </c>
    </row>
    <row r="101" spans="1:11" x14ac:dyDescent="0.15">
      <c r="A101">
        <v>1100</v>
      </c>
      <c r="B101" t="s">
        <v>158</v>
      </c>
      <c r="C101" t="s">
        <v>13</v>
      </c>
      <c r="D101" t="s">
        <v>52</v>
      </c>
      <c r="E101" t="s">
        <v>15</v>
      </c>
      <c r="F101" t="s">
        <v>40</v>
      </c>
      <c r="G101">
        <v>3</v>
      </c>
      <c r="H101" s="14">
        <v>1549</v>
      </c>
      <c r="I101" s="2">
        <v>45744</v>
      </c>
      <c r="J101" t="s">
        <v>73</v>
      </c>
      <c r="K101" t="str">
        <f>TEXT(PTABLE[[#This Row],[Sale_Date]],"MMM")</f>
        <v>Mar</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4506668294322"/>
  </sheetPr>
  <dimension ref="A1:AA26"/>
  <sheetViews>
    <sheetView workbookViewId="0"/>
  </sheetViews>
  <sheetFormatPr defaultColWidth="9" defaultRowHeight="13.5" x14ac:dyDescent="0.15"/>
  <cols>
    <col min="1" max="1" width="9.875" customWidth="1"/>
    <col min="2" max="2" width="9.125" hidden="1" customWidth="1"/>
    <col min="3" max="4" width="11.75" customWidth="1"/>
    <col min="5" max="5" width="15.125" customWidth="1"/>
    <col min="6" max="6" width="11.75" customWidth="1"/>
    <col min="7" max="7" width="19.125" customWidth="1"/>
    <col min="8" max="8" width="11.75" customWidth="1"/>
    <col min="9" max="9" width="38.875" customWidth="1"/>
    <col min="10" max="10" width="11" customWidth="1"/>
    <col min="14" max="14" width="16.625" customWidth="1"/>
    <col min="15" max="15" width="17" customWidth="1"/>
    <col min="16" max="16" width="26.625" customWidth="1"/>
    <col min="21" max="21" width="18.125" customWidth="1"/>
    <col min="22" max="22" width="17.875" customWidth="1"/>
    <col min="25" max="25" width="16.375" customWidth="1"/>
    <col min="26" max="26" width="14.375" customWidth="1"/>
    <col min="27" max="27" width="12" customWidth="1"/>
  </cols>
  <sheetData>
    <row r="1" spans="1:27" x14ac:dyDescent="0.15">
      <c r="C1" s="1" t="s">
        <v>159</v>
      </c>
      <c r="D1" s="1"/>
      <c r="E1" s="1"/>
      <c r="M1" s="1" t="s">
        <v>160</v>
      </c>
      <c r="N1" s="1"/>
      <c r="U1" t="s">
        <v>161</v>
      </c>
      <c r="Z1" t="s">
        <v>162</v>
      </c>
    </row>
    <row r="2" spans="1:27" x14ac:dyDescent="0.15">
      <c r="A2" t="s">
        <v>3</v>
      </c>
      <c r="B2" t="s">
        <v>21</v>
      </c>
      <c r="C2" t="s">
        <v>28</v>
      </c>
      <c r="D2" t="s">
        <v>39</v>
      </c>
      <c r="E2" t="s">
        <v>32</v>
      </c>
      <c r="F2" t="s">
        <v>52</v>
      </c>
      <c r="G2" t="s">
        <v>14</v>
      </c>
      <c r="H2" t="s">
        <v>163</v>
      </c>
      <c r="I2" t="s">
        <v>164</v>
      </c>
      <c r="M2" t="s">
        <v>4</v>
      </c>
      <c r="N2" t="s">
        <v>165</v>
      </c>
      <c r="O2" t="s">
        <v>166</v>
      </c>
      <c r="S2" t="s">
        <v>6</v>
      </c>
      <c r="T2" t="s">
        <v>165</v>
      </c>
      <c r="U2" t="s">
        <v>167</v>
      </c>
      <c r="Y2" t="s">
        <v>168</v>
      </c>
      <c r="Z2" t="s">
        <v>169</v>
      </c>
      <c r="AA2" s="15" t="s">
        <v>167</v>
      </c>
    </row>
    <row r="3" spans="1:27" x14ac:dyDescent="0.15">
      <c r="A3" t="s">
        <v>47</v>
      </c>
      <c r="B3">
        <v>1</v>
      </c>
      <c r="C3">
        <v>2</v>
      </c>
      <c r="D3">
        <v>4</v>
      </c>
      <c r="E3">
        <v>7</v>
      </c>
      <c r="F3">
        <v>1</v>
      </c>
      <c r="G3">
        <v>3</v>
      </c>
      <c r="H3">
        <v>18</v>
      </c>
      <c r="I3" t="s">
        <v>32</v>
      </c>
      <c r="M3" t="s">
        <v>28</v>
      </c>
      <c r="N3">
        <v>59</v>
      </c>
      <c r="O3" s="14">
        <v>21017</v>
      </c>
      <c r="S3" t="s">
        <v>40</v>
      </c>
      <c r="T3">
        <v>75</v>
      </c>
      <c r="U3" s="14">
        <v>34087</v>
      </c>
      <c r="Y3" t="s">
        <v>36</v>
      </c>
      <c r="Z3">
        <v>112</v>
      </c>
      <c r="AA3" s="14">
        <v>46129</v>
      </c>
    </row>
    <row r="4" spans="1:27" x14ac:dyDescent="0.15">
      <c r="A4" t="s">
        <v>13</v>
      </c>
      <c r="B4">
        <v>3</v>
      </c>
      <c r="C4">
        <v>2</v>
      </c>
      <c r="D4">
        <v>1</v>
      </c>
      <c r="E4">
        <v>2</v>
      </c>
      <c r="F4">
        <v>4</v>
      </c>
      <c r="G4">
        <v>10</v>
      </c>
      <c r="H4">
        <v>22</v>
      </c>
      <c r="I4" t="s">
        <v>14</v>
      </c>
      <c r="M4" t="s">
        <v>39</v>
      </c>
      <c r="N4">
        <v>36</v>
      </c>
      <c r="O4" s="14">
        <v>16908</v>
      </c>
      <c r="S4" t="s">
        <v>29</v>
      </c>
      <c r="T4">
        <v>68</v>
      </c>
      <c r="U4" s="14">
        <v>30513</v>
      </c>
      <c r="Y4" t="s">
        <v>18</v>
      </c>
      <c r="Z4">
        <v>66</v>
      </c>
      <c r="AA4" s="14">
        <v>28362</v>
      </c>
    </row>
    <row r="5" spans="1:27" x14ac:dyDescent="0.15">
      <c r="A5" t="s">
        <v>42</v>
      </c>
      <c r="B5">
        <v>4</v>
      </c>
      <c r="C5">
        <v>4</v>
      </c>
      <c r="D5">
        <v>3</v>
      </c>
      <c r="E5">
        <v>3</v>
      </c>
      <c r="F5">
        <v>5</v>
      </c>
      <c r="G5">
        <v>3</v>
      </c>
      <c r="H5">
        <v>22</v>
      </c>
      <c r="I5" t="s">
        <v>52</v>
      </c>
      <c r="M5" t="s">
        <v>32</v>
      </c>
      <c r="N5">
        <v>66</v>
      </c>
      <c r="O5" s="14">
        <v>36612</v>
      </c>
      <c r="S5" t="s">
        <v>16</v>
      </c>
      <c r="T5">
        <v>71</v>
      </c>
      <c r="U5" s="14">
        <v>29093</v>
      </c>
      <c r="Y5" t="s">
        <v>30</v>
      </c>
      <c r="Z5">
        <v>83</v>
      </c>
      <c r="AA5" s="14">
        <v>39029</v>
      </c>
    </row>
    <row r="6" spans="1:27" x14ac:dyDescent="0.15">
      <c r="A6" t="s">
        <v>67</v>
      </c>
      <c r="B6">
        <v>3</v>
      </c>
      <c r="C6">
        <v>2</v>
      </c>
      <c r="D6">
        <v>1</v>
      </c>
      <c r="E6">
        <v>5</v>
      </c>
      <c r="F6">
        <v>4</v>
      </c>
      <c r="G6">
        <v>2</v>
      </c>
      <c r="H6">
        <v>17</v>
      </c>
      <c r="I6" t="s">
        <v>32</v>
      </c>
      <c r="M6" t="s">
        <v>52</v>
      </c>
      <c r="N6">
        <v>57</v>
      </c>
      <c r="O6" s="14">
        <v>22608</v>
      </c>
      <c r="S6" t="s">
        <v>26</v>
      </c>
      <c r="T6">
        <v>71</v>
      </c>
      <c r="U6" s="14">
        <v>32299</v>
      </c>
      <c r="Y6" t="s">
        <v>24</v>
      </c>
      <c r="Z6">
        <v>62</v>
      </c>
      <c r="AA6" s="14">
        <v>29559</v>
      </c>
    </row>
    <row r="7" spans="1:27" x14ac:dyDescent="0.15">
      <c r="A7" t="s">
        <v>20</v>
      </c>
      <c r="B7">
        <v>2</v>
      </c>
      <c r="C7">
        <v>2</v>
      </c>
      <c r="D7">
        <v>1</v>
      </c>
      <c r="E7">
        <v>3</v>
      </c>
      <c r="F7">
        <v>0</v>
      </c>
      <c r="G7">
        <v>3</v>
      </c>
      <c r="H7">
        <v>11</v>
      </c>
      <c r="I7" t="s">
        <v>170</v>
      </c>
      <c r="M7" t="s">
        <v>14</v>
      </c>
      <c r="N7">
        <v>73</v>
      </c>
      <c r="O7" s="14">
        <v>30366</v>
      </c>
      <c r="U7" s="14"/>
      <c r="Y7" t="s">
        <v>76</v>
      </c>
      <c r="Z7">
        <v>10</v>
      </c>
      <c r="AA7" s="14">
        <v>3796</v>
      </c>
    </row>
    <row r="8" spans="1:27" x14ac:dyDescent="0.15">
      <c r="A8" t="s">
        <v>35</v>
      </c>
      <c r="B8">
        <v>0</v>
      </c>
      <c r="C8">
        <v>2</v>
      </c>
      <c r="D8">
        <v>1</v>
      </c>
      <c r="E8">
        <v>4</v>
      </c>
      <c r="F8">
        <v>2</v>
      </c>
      <c r="G8">
        <v>1</v>
      </c>
      <c r="H8">
        <v>10</v>
      </c>
      <c r="I8" t="s">
        <v>32</v>
      </c>
      <c r="O8" s="14"/>
      <c r="U8" s="14"/>
      <c r="AA8" s="14"/>
    </row>
    <row r="9" spans="1:27" x14ac:dyDescent="0.15">
      <c r="M9" t="s">
        <v>171</v>
      </c>
      <c r="N9">
        <v>291</v>
      </c>
      <c r="O9" s="14"/>
      <c r="S9" t="s">
        <v>172</v>
      </c>
      <c r="T9">
        <v>285</v>
      </c>
      <c r="U9" s="14"/>
      <c r="Y9" t="s">
        <v>173</v>
      </c>
      <c r="Z9">
        <v>333</v>
      </c>
      <c r="AA9" s="14">
        <v>146875</v>
      </c>
    </row>
    <row r="10" spans="1:27" x14ac:dyDescent="0.15">
      <c r="M10" t="s">
        <v>174</v>
      </c>
      <c r="O10" s="14">
        <v>127511</v>
      </c>
      <c r="S10" t="s">
        <v>174</v>
      </c>
      <c r="U10" s="14">
        <v>125992</v>
      </c>
      <c r="Y10" t="s">
        <v>175</v>
      </c>
      <c r="Z10" t="s">
        <v>176</v>
      </c>
      <c r="AA10" s="14"/>
    </row>
    <row r="11" spans="1:27" x14ac:dyDescent="0.15">
      <c r="A11" t="s">
        <v>177</v>
      </c>
      <c r="B11">
        <v>13</v>
      </c>
      <c r="C11">
        <v>14</v>
      </c>
      <c r="D11">
        <v>11</v>
      </c>
      <c r="E11">
        <v>24</v>
      </c>
      <c r="F11">
        <v>16</v>
      </c>
      <c r="G11">
        <v>22</v>
      </c>
      <c r="H11">
        <v>100</v>
      </c>
      <c r="M11" t="s">
        <v>178</v>
      </c>
      <c r="N11" t="s">
        <v>14</v>
      </c>
      <c r="O11" s="14"/>
    </row>
    <row r="12" spans="1:27" x14ac:dyDescent="0.15">
      <c r="A12" t="s">
        <v>179</v>
      </c>
      <c r="B12" t="s">
        <v>180</v>
      </c>
      <c r="F12" t="s">
        <v>181</v>
      </c>
    </row>
    <row r="17" spans="1:22" x14ac:dyDescent="0.15">
      <c r="C17" s="1" t="s">
        <v>182</v>
      </c>
      <c r="D17" s="1"/>
      <c r="E17" s="1"/>
      <c r="N17" s="1" t="s">
        <v>183</v>
      </c>
      <c r="O17" s="1"/>
      <c r="U17" s="1" t="s">
        <v>184</v>
      </c>
      <c r="V17" s="1"/>
    </row>
    <row r="18" spans="1:22" x14ac:dyDescent="0.15">
      <c r="A18" s="6" t="s">
        <v>185</v>
      </c>
      <c r="B18" s="6" t="s">
        <v>21</v>
      </c>
      <c r="C18" s="14" t="s">
        <v>28</v>
      </c>
      <c r="D18" s="14" t="s">
        <v>39</v>
      </c>
      <c r="E18" s="14" t="s">
        <v>32</v>
      </c>
      <c r="F18" s="14" t="s">
        <v>52</v>
      </c>
      <c r="G18" s="14" t="s">
        <v>14</v>
      </c>
      <c r="H18" s="14" t="s">
        <v>186</v>
      </c>
      <c r="N18" t="s">
        <v>187</v>
      </c>
      <c r="O18" t="s">
        <v>33</v>
      </c>
      <c r="P18" t="s">
        <v>22</v>
      </c>
      <c r="Q18" t="s">
        <v>15</v>
      </c>
      <c r="U18" t="s">
        <v>10</v>
      </c>
      <c r="V18" t="s">
        <v>188</v>
      </c>
    </row>
    <row r="19" spans="1:22" x14ac:dyDescent="0.15">
      <c r="A19" s="6" t="s">
        <v>23</v>
      </c>
      <c r="B19" s="6">
        <v>4664</v>
      </c>
      <c r="C19" s="14">
        <v>0</v>
      </c>
      <c r="D19" s="14">
        <v>4557</v>
      </c>
      <c r="E19" s="14">
        <v>1959</v>
      </c>
      <c r="F19" s="14">
        <v>6749</v>
      </c>
      <c r="G19" s="14">
        <v>2954</v>
      </c>
      <c r="H19" s="14">
        <v>20883</v>
      </c>
      <c r="N19" t="s">
        <v>21</v>
      </c>
      <c r="O19">
        <v>2</v>
      </c>
      <c r="P19">
        <v>6</v>
      </c>
      <c r="Q19">
        <v>5</v>
      </c>
      <c r="U19" t="s">
        <v>73</v>
      </c>
      <c r="V19">
        <v>38</v>
      </c>
    </row>
    <row r="20" spans="1:22" x14ac:dyDescent="0.15">
      <c r="A20" s="6" t="s">
        <v>40</v>
      </c>
      <c r="B20" s="6">
        <v>5715</v>
      </c>
      <c r="C20" s="14">
        <v>1879</v>
      </c>
      <c r="D20" s="14">
        <v>5630</v>
      </c>
      <c r="E20" s="14">
        <v>13709</v>
      </c>
      <c r="F20" s="14">
        <v>2641</v>
      </c>
      <c r="G20" s="14">
        <v>4513</v>
      </c>
      <c r="H20" s="14">
        <v>34087</v>
      </c>
      <c r="N20" t="s">
        <v>28</v>
      </c>
      <c r="O20">
        <v>4</v>
      </c>
      <c r="P20">
        <v>8</v>
      </c>
      <c r="Q20">
        <v>2</v>
      </c>
      <c r="U20" t="s">
        <v>75</v>
      </c>
      <c r="V20">
        <v>18</v>
      </c>
    </row>
    <row r="21" spans="1:22" x14ac:dyDescent="0.15">
      <c r="A21" s="6" t="s">
        <v>29</v>
      </c>
      <c r="B21" s="6">
        <v>1964</v>
      </c>
      <c r="C21" s="14">
        <v>3221</v>
      </c>
      <c r="D21" s="14">
        <v>1302</v>
      </c>
      <c r="E21" s="14">
        <v>15516</v>
      </c>
      <c r="F21" s="14">
        <v>5301</v>
      </c>
      <c r="G21" s="14">
        <v>3209</v>
      </c>
      <c r="H21" s="14">
        <v>30513</v>
      </c>
      <c r="N21" t="s">
        <v>39</v>
      </c>
      <c r="O21">
        <v>4</v>
      </c>
      <c r="P21">
        <v>4</v>
      </c>
      <c r="Q21">
        <v>3</v>
      </c>
      <c r="U21" t="s">
        <v>74</v>
      </c>
      <c r="V21">
        <v>25</v>
      </c>
    </row>
    <row r="22" spans="1:22" x14ac:dyDescent="0.15">
      <c r="A22" s="6" t="s">
        <v>16</v>
      </c>
      <c r="B22" s="6">
        <v>3358</v>
      </c>
      <c r="C22" s="14">
        <v>10441</v>
      </c>
      <c r="D22" s="14">
        <v>0</v>
      </c>
      <c r="E22" s="14">
        <v>1674</v>
      </c>
      <c r="F22" s="14">
        <v>5197</v>
      </c>
      <c r="G22" s="14">
        <v>8423</v>
      </c>
      <c r="H22" s="14">
        <v>29093</v>
      </c>
      <c r="N22" t="s">
        <v>32</v>
      </c>
      <c r="O22">
        <v>12</v>
      </c>
      <c r="P22">
        <v>7</v>
      </c>
      <c r="Q22">
        <v>5</v>
      </c>
      <c r="U22" t="s">
        <v>17</v>
      </c>
      <c r="V22">
        <v>19</v>
      </c>
    </row>
    <row r="23" spans="1:22" x14ac:dyDescent="0.15">
      <c r="A23" s="6" t="s">
        <v>26</v>
      </c>
      <c r="B23" s="6">
        <v>3663</v>
      </c>
      <c r="C23" s="14">
        <v>5476</v>
      </c>
      <c r="D23" s="14">
        <v>5419</v>
      </c>
      <c r="E23" s="14">
        <v>3754</v>
      </c>
      <c r="F23" s="14">
        <v>2720</v>
      </c>
      <c r="G23" s="14">
        <v>11267</v>
      </c>
      <c r="H23" s="14">
        <v>32299</v>
      </c>
      <c r="N23" t="s">
        <v>52</v>
      </c>
      <c r="O23">
        <v>7</v>
      </c>
      <c r="P23">
        <v>5</v>
      </c>
      <c r="Q23">
        <v>4</v>
      </c>
    </row>
    <row r="24" spans="1:22" x14ac:dyDescent="0.15">
      <c r="A24" s="6" t="s">
        <v>186</v>
      </c>
      <c r="B24" s="6">
        <v>19364</v>
      </c>
      <c r="C24" s="14">
        <v>21017</v>
      </c>
      <c r="D24" s="14">
        <v>16908</v>
      </c>
      <c r="E24" s="14">
        <v>36612</v>
      </c>
      <c r="F24" s="14">
        <v>22608</v>
      </c>
      <c r="G24" s="14">
        <v>30366</v>
      </c>
      <c r="H24" s="14">
        <v>146875</v>
      </c>
      <c r="N24" t="s">
        <v>14</v>
      </c>
      <c r="O24">
        <v>5</v>
      </c>
      <c r="P24">
        <v>8</v>
      </c>
      <c r="Q24">
        <v>9</v>
      </c>
      <c r="U24" t="s">
        <v>189</v>
      </c>
      <c r="V24" t="s">
        <v>73</v>
      </c>
    </row>
    <row r="26" spans="1:22" x14ac:dyDescent="0.15">
      <c r="N26" t="s">
        <v>163</v>
      </c>
      <c r="O26">
        <v>34</v>
      </c>
      <c r="P26">
        <v>38</v>
      </c>
      <c r="Q26">
        <v>28</v>
      </c>
    </row>
  </sheetData>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CHART SHEET</vt:lpstr>
      <vt:lpstr>PIVOT TABLE</vt:lpstr>
      <vt:lpstr>DASHBOARD</vt:lpstr>
      <vt:lpstr>iphone_sales_dataset</vt:lpstr>
      <vt:lpstr>ANALYSIS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Techalive</dc:creator>
  <cp:lastModifiedBy>Techalive</cp:lastModifiedBy>
  <dcterms:created xsi:type="dcterms:W3CDTF">2026-05-12T23:21:00Z</dcterms:created>
  <dcterms:modified xsi:type="dcterms:W3CDTF">2026-06-01T21:52:00Z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B485DF2AFA5A49EB9D0CEE712765EB40_12</vt:lpwstr>
  </property>
  <property fmtid="{D5CDD505-2E9C-101B-9397-08002B2CF9AE}" pid="3" name="KSOProductBuildVer">
    <vt:lpwstr>1033-12.2.0.23196</vt:lpwstr>
  </property>
</Properties>
</file>